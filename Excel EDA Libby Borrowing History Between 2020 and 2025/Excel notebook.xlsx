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aingangiang/Downloads/7. Học tập/INFO 101/Assignment 2/"/>
    </mc:Choice>
  </mc:AlternateContent>
  <xr:revisionPtr revIDLastSave="0" documentId="13_ncr:1_{D8F24B34-F66D-8E44-9034-8AB566D6FCAC}" xr6:coauthVersionLast="47" xr6:coauthVersionMax="47" xr10:uidLastSave="{00000000-0000-0000-0000-000000000000}"/>
  <bookViews>
    <workbookView xWindow="6560" yWindow="500" windowWidth="22240" windowHeight="16280" firstSheet="1" activeTab="2" xr2:uid="{8D8580F3-0727-4FDD-9D47-387FB05611FA}"/>
  </bookViews>
  <sheets>
    <sheet name="Sheet1" sheetId="1" r:id="rId1"/>
    <sheet name="Working data" sheetId="2" r:id="rId2"/>
    <sheet name="Chart 1" sheetId="3" r:id="rId3"/>
    <sheet name="Chart 2" sheetId="5" r:id="rId4"/>
    <sheet name="Chart 3" sheetId="6" r:id="rId5"/>
    <sheet name="Chart 4" sheetId="7" r:id="rId6"/>
    <sheet name="Chart 5" sheetId="8" r:id="rId7"/>
  </sheets>
  <definedNames>
    <definedName name="_xlnm._FilterDatabase" localSheetId="0" hidden="1">Sheet1!$A$1:$O$138</definedName>
    <definedName name="_xlnm._FilterDatabase" localSheetId="1" hidden="1">'Working data'!$A$1:$R$129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31" i="2"/>
  <c r="K32" i="2"/>
  <c r="K24" i="2"/>
  <c r="K25" i="2"/>
  <c r="K26" i="2"/>
  <c r="K27" i="2"/>
  <c r="K36" i="2"/>
  <c r="K31" i="2"/>
  <c r="C3" i="5"/>
  <c r="D3" i="5" s="1"/>
  <c r="C4" i="5"/>
  <c r="D4" i="5" s="1"/>
  <c r="C5" i="5"/>
  <c r="D5" i="5" s="1"/>
  <c r="C6" i="5"/>
  <c r="D6" i="5" s="1"/>
  <c r="C7" i="5"/>
  <c r="D7" i="5" s="1"/>
  <c r="C8" i="5"/>
  <c r="D8" i="5" s="1"/>
  <c r="C9" i="5"/>
  <c r="D9" i="5" s="1"/>
  <c r="C2" i="5"/>
  <c r="D2" i="5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8" i="2"/>
  <c r="K29" i="2"/>
  <c r="K30" i="2"/>
  <c r="K33" i="2"/>
  <c r="K34" i="2"/>
  <c r="K35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</calcChain>
</file>

<file path=xl/sharedStrings.xml><?xml version="1.0" encoding="utf-8"?>
<sst xmlns="http://schemas.openxmlformats.org/spreadsheetml/2006/main" count="1944" uniqueCount="381">
  <si>
    <t>Title</t>
  </si>
  <si>
    <t>Author</t>
  </si>
  <si>
    <t>Genre</t>
  </si>
  <si>
    <t>Sub-genre</t>
  </si>
  <si>
    <t>Year of release</t>
  </si>
  <si>
    <t># in series</t>
  </si>
  <si>
    <t>Publisher</t>
  </si>
  <si>
    <t>ISBN</t>
  </si>
  <si>
    <t>Issue date</t>
  </si>
  <si>
    <t>Time borrowed</t>
  </si>
  <si>
    <t>Activity</t>
  </si>
  <si>
    <t>Duration (hours)</t>
  </si>
  <si>
    <t>Reading status (%)</t>
  </si>
  <si>
    <t>Borrow duration (days)</t>
  </si>
  <si>
    <t>library</t>
  </si>
  <si>
    <t>A Court of Mist and Fury</t>
  </si>
  <si>
    <t>Sarah J. Maas</t>
  </si>
  <si>
    <t>Fiction</t>
  </si>
  <si>
    <t>Romantic Fantasy</t>
  </si>
  <si>
    <t>Recorded Books</t>
  </si>
  <si>
    <t>Borrowed</t>
  </si>
  <si>
    <t>Lower North Island</t>
  </si>
  <si>
    <t>A Court of Thorns and Roses</t>
  </si>
  <si>
    <t>A Court of Wings and Ruin</t>
  </si>
  <si>
    <t>A Game of Thrones</t>
  </si>
  <si>
    <t>George R.R. Martin</t>
  </si>
  <si>
    <t>Epic Fantasy</t>
  </si>
  <si>
    <t>A New Night</t>
  </si>
  <si>
    <t>R.I. Polsgrove</t>
  </si>
  <si>
    <t>Fantasy</t>
  </si>
  <si>
    <t>Audible Originals</t>
  </si>
  <si>
    <t>A Study in Scarlet</t>
  </si>
  <si>
    <t>Sir Arthur Conan Doyle</t>
  </si>
  <si>
    <t>Tantor Media, Inc</t>
  </si>
  <si>
    <t>Wellington City Libraries</t>
  </si>
  <si>
    <t>Abundance</t>
  </si>
  <si>
    <t>Ezra Klein &amp; Derek Thompson</t>
  </si>
  <si>
    <t>Nonfiction</t>
  </si>
  <si>
    <t>Simon &amp; Schuster Audio</t>
  </si>
  <si>
    <t>Adventures of Sherlock Holmes, volume 1</t>
  </si>
  <si>
    <t>Canongate Books</t>
  </si>
  <si>
    <t>Adventures of Sherlock Holmes, volume 2</t>
  </si>
  <si>
    <t>An Unfortunate Christmas Murder</t>
  </si>
  <si>
    <t>Hannah Hendy</t>
  </si>
  <si>
    <t>Mystery</t>
  </si>
  <si>
    <t>SAGA Egmont</t>
  </si>
  <si>
    <t>Atmosphere</t>
  </si>
  <si>
    <t>Taylor Jenkins Reid</t>
  </si>
  <si>
    <t>Contemporary Fiction</t>
  </si>
  <si>
    <t>Random House Audio</t>
  </si>
  <si>
    <t>Atomic Habits</t>
  </si>
  <si>
    <t>James Clear</t>
  </si>
  <si>
    <t>Self‑help</t>
  </si>
  <si>
    <t>Penguin Audio</t>
  </si>
  <si>
    <t>Babel</t>
  </si>
  <si>
    <t>R. F. Kuang</t>
  </si>
  <si>
    <t>Historical Fic</t>
  </si>
  <si>
    <t>HarperCollins</t>
  </si>
  <si>
    <t>Benedict Cumberbatch Reads Sherlock Holmes' Rediscovered Railway Mysteries</t>
  </si>
  <si>
    <t>John Taylor</t>
  </si>
  <si>
    <t>BBC Audio</t>
  </si>
  <si>
    <t>Big Dumb Eyes</t>
  </si>
  <si>
    <t>Nate Bargatze</t>
  </si>
  <si>
    <t>Grand Central Publishing Audio</t>
  </si>
  <si>
    <t>Bring Up the Bodies</t>
  </si>
  <si>
    <t>Hilary Mantel</t>
  </si>
  <si>
    <t>Tudor politics</t>
  </si>
  <si>
    <t>Fourth Estate</t>
  </si>
  <si>
    <t>978-0007422685</t>
  </si>
  <si>
    <t>Brisingr</t>
  </si>
  <si>
    <t>Christopher Paolini</t>
  </si>
  <si>
    <t>Books on Tape</t>
  </si>
  <si>
    <t>Catching Fire</t>
  </si>
  <si>
    <t>Suzanne Collins</t>
  </si>
  <si>
    <t>Science fiction</t>
  </si>
  <si>
    <t>Dystopian</t>
  </si>
  <si>
    <t>Scholastic Audio</t>
  </si>
  <si>
    <t>Cloud Atlas</t>
  </si>
  <si>
    <t>David Mitchell</t>
  </si>
  <si>
    <t>Speculative Fiction</t>
  </si>
  <si>
    <t>Sci-fi Anthology</t>
  </si>
  <si>
    <t>Hodder &amp; Stoughton</t>
  </si>
  <si>
    <t>Daughter of Gloriavale</t>
  </si>
  <si>
    <t>Lilia Tarawa</t>
  </si>
  <si>
    <t>Nonfiction Memoir</t>
  </si>
  <si>
    <t>Death on the Nile</t>
  </si>
  <si>
    <t>Agatha Christie</t>
  </si>
  <si>
    <t>Dracula</t>
  </si>
  <si>
    <t>Bram Stoker</t>
  </si>
  <si>
    <t>Classic literature</t>
  </si>
  <si>
    <t>Horror</t>
  </si>
  <si>
    <t>Duke Classics</t>
  </si>
  <si>
    <t>Eldest</t>
  </si>
  <si>
    <t>Penguin Random House Children's UK</t>
  </si>
  <si>
    <t>Equality</t>
  </si>
  <si>
    <t>Thomas Piketty, Michael Sandel</t>
  </si>
  <si>
    <t>Philosophy</t>
  </si>
  <si>
    <t>Blackstone Publishing</t>
  </si>
  <si>
    <t>Eragon</t>
  </si>
  <si>
    <t>Fi</t>
  </si>
  <si>
    <t>Alexandra Fuller</t>
  </si>
  <si>
    <t>Autobiography</t>
  </si>
  <si>
    <t>Family &amp; relationships</t>
  </si>
  <si>
    <t>Random House Audiobooks</t>
  </si>
  <si>
    <t>Forest Euphoria</t>
  </si>
  <si>
    <t>Patricia Ononiwu Kaishan</t>
  </si>
  <si>
    <t>Spiegel &amp; Grau by Spotify Audiobooks</t>
  </si>
  <si>
    <t>Fourth Wing</t>
  </si>
  <si>
    <t>Rebecca Yarros</t>
  </si>
  <si>
    <t>From Here to the Great Unknown</t>
  </si>
  <si>
    <t>Lisa Marie Presley &amp; Riley Keough</t>
  </si>
  <si>
    <t>Music Memoir</t>
  </si>
  <si>
    <t>George Orwell’s 1984 (Adaptation)</t>
  </si>
  <si>
    <t>George Orwell, Joe White</t>
  </si>
  <si>
    <t>Giovanni’s Room</t>
  </si>
  <si>
    <t>James Baldwin</t>
  </si>
  <si>
    <t>LGBTQ Literary Fiction</t>
  </si>
  <si>
    <t>House of Flame and Shadow</t>
  </si>
  <si>
    <t>How Countries Go Broke</t>
  </si>
  <si>
    <t>Ray Dalio</t>
  </si>
  <si>
    <t>Economics</t>
  </si>
  <si>
    <t>How Feminist Economics Can Change Our World</t>
  </si>
  <si>
    <t>Emma Holten</t>
  </si>
  <si>
    <t>Virgin Digital</t>
  </si>
  <si>
    <t>I'm Glad My Mom Died</t>
  </si>
  <si>
    <t>Jennette McCurdy</t>
  </si>
  <si>
    <t>Memoir</t>
  </si>
  <si>
    <t>Icebreaker</t>
  </si>
  <si>
    <t>Hannah Grace</t>
  </si>
  <si>
    <t>Contemporary Romance</t>
  </si>
  <si>
    <t>If I Survive You</t>
  </si>
  <si>
    <t>Jonathan Escoffery</t>
  </si>
  <si>
    <t>Literary Fic</t>
  </si>
  <si>
    <t>Family Saga</t>
  </si>
  <si>
    <t>Inheritance, Part One</t>
  </si>
  <si>
    <t>Inheritance, Part Two</t>
  </si>
  <si>
    <t>James</t>
  </si>
  <si>
    <t>Percival Everett</t>
  </si>
  <si>
    <t>Mantle</t>
  </si>
  <si>
    <t>Justice</t>
  </si>
  <si>
    <t>Michael J. Sandel</t>
  </si>
  <si>
    <t>Penguin Books Ltd</t>
  </si>
  <si>
    <t>Knife</t>
  </si>
  <si>
    <t>Salman Rushdie</t>
  </si>
  <si>
    <t>Autobiographical</t>
  </si>
  <si>
    <t>Lincoln in the Bardo</t>
  </si>
  <si>
    <t>George Saunders</t>
  </si>
  <si>
    <t>Experimental</t>
  </si>
  <si>
    <t>Bloomsbury Publishing</t>
  </si>
  <si>
    <t>978-1526605824</t>
  </si>
  <si>
    <t>Midnight’s Children</t>
  </si>
  <si>
    <t>Magical Realism</t>
  </si>
  <si>
    <t>Jonathan Cape</t>
  </si>
  <si>
    <t>Mockingjay</t>
  </si>
  <si>
    <t>Moonbound</t>
  </si>
  <si>
    <t>Robin Sloan</t>
  </si>
  <si>
    <t>Sci‑Fi Fantasy</t>
  </si>
  <si>
    <t>Murder on the Orient Express</t>
  </si>
  <si>
    <t>W. F. Howes Ltd</t>
  </si>
  <si>
    <t>Murtagh</t>
  </si>
  <si>
    <t>My Body Keeps your Secrets</t>
  </si>
  <si>
    <t>Lucia Osborne-Crowley</t>
  </si>
  <si>
    <t>Mythos</t>
  </si>
  <si>
    <t>Stephen Fry</t>
  </si>
  <si>
    <t>Historical fiction</t>
  </si>
  <si>
    <t>Mythology</t>
  </si>
  <si>
    <t>Never Flinch</t>
  </si>
  <si>
    <t>Stephen King</t>
  </si>
  <si>
    <t>Never Lie</t>
  </si>
  <si>
    <t>Freida McFadden</t>
  </si>
  <si>
    <t>Thriller</t>
  </si>
  <si>
    <t>Hollywood Upstairs Press</t>
  </si>
  <si>
    <t>Not All Heroes Wear Capes</t>
  </si>
  <si>
    <t>Jono Lancaster</t>
  </si>
  <si>
    <t>Ebury Digital</t>
  </si>
  <si>
    <t>Oh William!</t>
  </si>
  <si>
    <t>Elizabeth Strout</t>
  </si>
  <si>
    <t>Contemporary Sitcom</t>
  </si>
  <si>
    <t>Old God's Time</t>
  </si>
  <si>
    <t>Sebastian Barry</t>
  </si>
  <si>
    <t>Coming-of-Age</t>
  </si>
  <si>
    <t>Onyx Storm</t>
  </si>
  <si>
    <t>Orbital</t>
  </si>
  <si>
    <t>Samantha Harvey</t>
  </si>
  <si>
    <t>Science Fiction-lite</t>
  </si>
  <si>
    <t>Grove Press (Atlantic)</t>
  </si>
  <si>
    <t>978-0802159803</t>
  </si>
  <si>
    <t>Original Sin</t>
  </si>
  <si>
    <t>Jake Tapper &amp; Alex Thompson</t>
  </si>
  <si>
    <t>Persuasion</t>
  </si>
  <si>
    <t>Jane Austen</t>
  </si>
  <si>
    <t>Point Blanc</t>
  </si>
  <si>
    <t>Anthony Horowitz</t>
  </si>
  <si>
    <t>Pomona Afton Can So Solve a Murder</t>
  </si>
  <si>
    <t>Bellamy Rose</t>
  </si>
  <si>
    <t>Pride and Prejudice</t>
  </si>
  <si>
    <t>Project Hail Mary</t>
  </si>
  <si>
    <t>Andy Weir</t>
  </si>
  <si>
    <t>Science Fiction</t>
  </si>
  <si>
    <t>Audible Studios</t>
  </si>
  <si>
    <t>Prophet Song</t>
  </si>
  <si>
    <t>Paul Lynch</t>
  </si>
  <si>
    <t>Political Thriller</t>
  </si>
  <si>
    <t>John Murray</t>
  </si>
  <si>
    <t>978-1038663436</t>
  </si>
  <si>
    <t>Question 7</t>
  </si>
  <si>
    <t>Richard Flanagan</t>
  </si>
  <si>
    <t>Rebecca</t>
  </si>
  <si>
    <t>Daphne du Maurier</t>
  </si>
  <si>
    <t>Hachette Audio</t>
  </si>
  <si>
    <t>Reservoir 13</t>
  </si>
  <si>
    <t>Jon McGregor</t>
  </si>
  <si>
    <t>Meditative Family</t>
  </si>
  <si>
    <t>Sense and Sensibility</t>
  </si>
  <si>
    <t>Naxos AudioBooks</t>
  </si>
  <si>
    <t>Shōgun, Part One</t>
  </si>
  <si>
    <t>James Clavell</t>
  </si>
  <si>
    <t>Historical Epic</t>
  </si>
  <si>
    <t>Shuggie Bain</t>
  </si>
  <si>
    <t>Douglas Stuart</t>
  </si>
  <si>
    <t>Coming of Age</t>
  </si>
  <si>
    <t>Grove Press</t>
  </si>
  <si>
    <t>978-0802126989</t>
  </si>
  <si>
    <t>Skeleton Key</t>
  </si>
  <si>
    <t>Small Things Like These</t>
  </si>
  <si>
    <t>Claire Keegan</t>
  </si>
  <si>
    <t>Contemporary Short</t>
  </si>
  <si>
    <t>HighBridge / Recorded Books</t>
  </si>
  <si>
    <t>Smoke</t>
  </si>
  <si>
    <t>Michael Brissenden</t>
  </si>
  <si>
    <t>Stormbreaker</t>
  </si>
  <si>
    <t>Sunrise on the Reaping</t>
  </si>
  <si>
    <t>Scholastic Audio Books</t>
  </si>
  <si>
    <t>The 48 Laws of Power (abridged)</t>
  </si>
  <si>
    <t>Robert Greene</t>
  </si>
  <si>
    <t>The Adventure of the Mazarin Stone</t>
  </si>
  <si>
    <t>The Adventures of Sherlock Holmes</t>
  </si>
  <si>
    <t>The Anxious Generation</t>
  </si>
  <si>
    <t>Jonathan Haidt</t>
  </si>
  <si>
    <t>Psychology</t>
  </si>
  <si>
    <t>The Bad Beginning</t>
  </si>
  <si>
    <t>Lemony Snicket</t>
  </si>
  <si>
    <t>The Battle of the Labyrinth</t>
  </si>
  <si>
    <t>Rick Riordan</t>
  </si>
  <si>
    <t>Juvenile Fiction</t>
  </si>
  <si>
    <t>The Boyfriend</t>
  </si>
  <si>
    <t>The Chalice of the Gods</t>
  </si>
  <si>
    <t>The Fellowship of the Ring</t>
  </si>
  <si>
    <t>J.R.R. Tolkien</t>
  </si>
  <si>
    <t>The Fork, the Witch, and the Worm</t>
  </si>
  <si>
    <t>The Game Is Afoot</t>
  </si>
  <si>
    <t>The Hound of the Baskervilles</t>
  </si>
  <si>
    <t>The Hunger Games</t>
  </si>
  <si>
    <t>Scholastic Inc.</t>
  </si>
  <si>
    <t>The Impossible Thing</t>
  </si>
  <si>
    <t>Belinda Bauer</t>
  </si>
  <si>
    <t>Transworld Digital</t>
  </si>
  <si>
    <t>The Labours of Hercules</t>
  </si>
  <si>
    <t>The Last Olympian</t>
  </si>
  <si>
    <t>The Let Them Theory</t>
  </si>
  <si>
    <t>Mel Robbins</t>
  </si>
  <si>
    <t>The Life of Dai</t>
  </si>
  <si>
    <t>Dai Henwood, Jaquie Brown</t>
  </si>
  <si>
    <t>The Lightning Thief</t>
  </si>
  <si>
    <t>The Long Take</t>
  </si>
  <si>
    <t>Robin Robertson</t>
  </si>
  <si>
    <t>Picador</t>
  </si>
  <si>
    <t>The Master</t>
  </si>
  <si>
    <t>Colm Tóibín</t>
  </si>
  <si>
    <t>Biographical Novel</t>
  </si>
  <si>
    <t>The Murder Inn</t>
  </si>
  <si>
    <t>James Patterson, Candice Fox</t>
  </si>
  <si>
    <t>Suspense</t>
  </si>
  <si>
    <t>Penguin Random House Australia</t>
  </si>
  <si>
    <t>The Parlour Wife</t>
  </si>
  <si>
    <t>Foluso Agbaje</t>
  </si>
  <si>
    <t>One More Chapter</t>
  </si>
  <si>
    <t>The Princess Bride</t>
  </si>
  <si>
    <t>William Goldman</t>
  </si>
  <si>
    <t>Phoenix Books, Inc.</t>
  </si>
  <si>
    <t>The Remarkable Truths of Alfie Bains</t>
  </si>
  <si>
    <t>Sarah Clutton</t>
  </si>
  <si>
    <t>The Sea of Monsters</t>
  </si>
  <si>
    <t>The Sense of an Ending</t>
  </si>
  <si>
    <t>Julian Barnes</t>
  </si>
  <si>
    <t>Psychological</t>
  </si>
  <si>
    <t>978-0099570148</t>
  </si>
  <si>
    <t>The Seven Moons of Maali Almeida</t>
  </si>
  <si>
    <t>Shehan Karunatilaka</t>
  </si>
  <si>
    <t>Sort of Books</t>
  </si>
  <si>
    <t>The Sign of Four</t>
  </si>
  <si>
    <t>The Tales of Beedle the Bard</t>
  </si>
  <si>
    <t>J. K. Rowling</t>
  </si>
  <si>
    <t>Pottermore Publishing</t>
  </si>
  <si>
    <t>The Titan's Curse</t>
  </si>
  <si>
    <t>The Trading Game</t>
  </si>
  <si>
    <t>Gary Stevenson</t>
  </si>
  <si>
    <t>The Woman in Me</t>
  </si>
  <si>
    <t>Britney Spears</t>
  </si>
  <si>
    <t>This is Going to Hurt</t>
  </si>
  <si>
    <t>Adam Kay</t>
  </si>
  <si>
    <t>Pan Macmillan</t>
  </si>
  <si>
    <t>This is Vegan Propoganda</t>
  </si>
  <si>
    <t>Ed Winters</t>
  </si>
  <si>
    <t>Sociology</t>
  </si>
  <si>
    <t>Stephenie Meyer</t>
  </si>
  <si>
    <t>Unbury the Dead</t>
  </si>
  <si>
    <t>Fiona Hardy</t>
  </si>
  <si>
    <t>Ward D</t>
  </si>
  <si>
    <t>Western Lane</t>
  </si>
  <si>
    <t>Chetna Maroo</t>
  </si>
  <si>
    <t>Wolf Hall</t>
  </si>
  <si>
    <t>978-0007310341</t>
  </si>
  <si>
    <t>You're Embarrassing Yourself</t>
  </si>
  <si>
    <t>Desiree Akhavan</t>
  </si>
  <si>
    <t>LGBTQ Memoir</t>
  </si>
  <si>
    <t>Mystery / Detective</t>
  </si>
  <si>
    <t>Romance / Historical fiction</t>
  </si>
  <si>
    <t>Fantasy / Romance</t>
  </si>
  <si>
    <t>Mystery / Conspiracy</t>
  </si>
  <si>
    <t>Mystery /  Family &amp; relationships</t>
  </si>
  <si>
    <t>Humor / Memoir</t>
  </si>
  <si>
    <t>Autobiography / Self-improvement</t>
  </si>
  <si>
    <t>Thriller / Mystery</t>
  </si>
  <si>
    <t>Memoir / Finance</t>
  </si>
  <si>
    <t>Autobiography / Feminism</t>
  </si>
  <si>
    <t>Economics / Feminism</t>
  </si>
  <si>
    <t>Autobiography / Religion and spirituality</t>
  </si>
  <si>
    <t>Autobiography / Nature</t>
  </si>
  <si>
    <t>Economics / Self-help</t>
  </si>
  <si>
    <t>Romantic Fantasy  / Science fiction</t>
  </si>
  <si>
    <t>Fantasy / Folklore</t>
  </si>
  <si>
    <t>Sports / Family</t>
  </si>
  <si>
    <t>Narrative Poetry / Post-war Noir</t>
  </si>
  <si>
    <t>Fantasy / Mythology</t>
  </si>
  <si>
    <t>Philosophy / Politics</t>
  </si>
  <si>
    <t>Historical / Family</t>
  </si>
  <si>
    <t>Political / History</t>
  </si>
  <si>
    <t>Satire / Historical</t>
  </si>
  <si>
    <t>Self‑help / Strategy</t>
  </si>
  <si>
    <t>Classic Literature</t>
  </si>
  <si>
    <t>Literary Fiction</t>
  </si>
  <si>
    <t>Romance / Historical Fiction</t>
  </si>
  <si>
    <t>Historical Fiction</t>
  </si>
  <si>
    <t>Year</t>
  </si>
  <si>
    <t>Row Labels</t>
  </si>
  <si>
    <t>Grand Total</t>
  </si>
  <si>
    <t>Average of Completion (%)</t>
  </si>
  <si>
    <t>Books borrowed</t>
  </si>
  <si>
    <t>Nonfiction / Memoir</t>
  </si>
  <si>
    <t>Nonfiction / Memoir / Religion and spirituality</t>
  </si>
  <si>
    <t>Nonfiction / Memoir / Feminism</t>
  </si>
  <si>
    <t>Nonfiction / Memoir / Self-improvement</t>
  </si>
  <si>
    <t>Nonfiction / Memoir / Nature</t>
  </si>
  <si>
    <t>Sci-Fi / Speculative</t>
  </si>
  <si>
    <t>Romantic Fantasy  / Sci-Fi / Speculative</t>
  </si>
  <si>
    <t>Sci-Fi / Speculative-lite</t>
  </si>
  <si>
    <t>Group</t>
  </si>
  <si>
    <t>Library</t>
  </si>
  <si>
    <t>Numbers of Titles</t>
  </si>
  <si>
    <t>Month</t>
  </si>
  <si>
    <t>June</t>
  </si>
  <si>
    <t>May</t>
  </si>
  <si>
    <t>October</t>
  </si>
  <si>
    <t>November</t>
  </si>
  <si>
    <t>February</t>
  </si>
  <si>
    <t>August</t>
  </si>
  <si>
    <t>April</t>
  </si>
  <si>
    <t>March</t>
  </si>
  <si>
    <t>January</t>
  </si>
  <si>
    <t>July</t>
  </si>
  <si>
    <t>December</t>
  </si>
  <si>
    <t>September</t>
  </si>
  <si>
    <t>\</t>
  </si>
  <si>
    <t>Completed</t>
  </si>
  <si>
    <t>Total</t>
  </si>
  <si>
    <t>Completion Rate (%)</t>
  </si>
  <si>
    <t>Barely Started (0–24%)</t>
  </si>
  <si>
    <t>Got Going (25–74%)</t>
  </si>
  <si>
    <t>Nearly There (75–99%)</t>
  </si>
  <si>
    <t>Fully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</si>
</sst>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10">
    <dxf>
      <numFmt numFmtId="2" formatCode="0.00"/>
    </dxf>
    <dxf>
      <font>
        <b val="0"/>
      </font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b val="0"/>
      </font>
    </dxf>
    <dxf>
      <numFmt numFmtId="164" formatCode="[$-F400]h:mm:ss\ AM/PM"/>
    </dxf>
    <dxf>
      <numFmt numFmtId="1" formatCode="0"/>
    </dxf>
    <dxf>
      <numFmt numFmtId="0" formatCode="General"/>
    </dxf>
    <dxf>
      <numFmt numFmtId="19" formatCode="d/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[LibbyDataExport-For Workshop Week 6.xlsx]Chart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Your reading has grown every year</a:t>
            </a:r>
            <a:endParaRPr lang="en-US" b="0" i="0" u="none" strike="noStrik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12-4545-A25C-7180E3FD04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1'!$A$2:$A$8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'Chart 1'!$B$2:$B$8</c:f>
              <c:numCache>
                <c:formatCode>General</c:formatCode>
                <c:ptCount val="6"/>
                <c:pt idx="0">
                  <c:v>9</c:v>
                </c:pt>
                <c:pt idx="1">
                  <c:v>13</c:v>
                </c:pt>
                <c:pt idx="2">
                  <c:v>6</c:v>
                </c:pt>
                <c:pt idx="3">
                  <c:v>29</c:v>
                </c:pt>
                <c:pt idx="4">
                  <c:v>46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2-4545-A25C-7180E3FD0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3524432"/>
        <c:axId val="663672560"/>
      </c:barChart>
      <c:catAx>
        <c:axId val="66352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63672560"/>
        <c:crosses val="autoZero"/>
        <c:auto val="1"/>
        <c:lblAlgn val="ctr"/>
        <c:lblOffset val="100"/>
        <c:noMultiLvlLbl val="0"/>
      </c:catAx>
      <c:valAx>
        <c:axId val="6636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635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Which genres do you actually finish?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2'!$D$12</c:f>
              <c:strCache>
                <c:ptCount val="1"/>
                <c:pt idx="0">
                  <c:v>Completion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2'!$A$13:$A$20</c:f>
              <c:strCache>
                <c:ptCount val="8"/>
                <c:pt idx="0">
                  <c:v>Classic Literature</c:v>
                </c:pt>
                <c:pt idx="1">
                  <c:v>Fiction</c:v>
                </c:pt>
                <c:pt idx="2">
                  <c:v>Historical Fiction</c:v>
                </c:pt>
                <c:pt idx="3">
                  <c:v>Juvenile Fiction</c:v>
                </c:pt>
                <c:pt idx="4">
                  <c:v>Literary Fiction</c:v>
                </c:pt>
                <c:pt idx="5">
                  <c:v>Nonfiction</c:v>
                </c:pt>
                <c:pt idx="6">
                  <c:v>Sci-Fi / Speculative</c:v>
                </c:pt>
                <c:pt idx="7">
                  <c:v>Nonfiction / Memoir</c:v>
                </c:pt>
              </c:strCache>
            </c:strRef>
          </c:cat>
          <c:val>
            <c:numRef>
              <c:f>'Chart 2'!$D$13:$D$20</c:f>
              <c:numCache>
                <c:formatCode>0.00</c:formatCode>
                <c:ptCount val="8"/>
                <c:pt idx="0">
                  <c:v>63.636363636363633</c:v>
                </c:pt>
                <c:pt idx="1">
                  <c:v>51.785714285714292</c:v>
                </c:pt>
                <c:pt idx="2">
                  <c:v>28.571428571428569</c:v>
                </c:pt>
                <c:pt idx="3">
                  <c:v>50</c:v>
                </c:pt>
                <c:pt idx="4">
                  <c:v>73.333333333333329</c:v>
                </c:pt>
                <c:pt idx="5">
                  <c:v>58.82352941176471</c:v>
                </c:pt>
                <c:pt idx="6">
                  <c:v>25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A-774C-80E6-1D3BDCC2C8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2525200"/>
        <c:axId val="592514928"/>
      </c:barChart>
      <c:catAx>
        <c:axId val="59252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2514928"/>
        <c:crosses val="autoZero"/>
        <c:auto val="1"/>
        <c:lblAlgn val="ctr"/>
        <c:lblOffset val="100"/>
        <c:noMultiLvlLbl val="0"/>
      </c:catAx>
      <c:valAx>
        <c:axId val="5925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25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[LibbyDataExport-For Workshop Week 6.xlsx]Chart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How far do you get before time runs out?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 3'!$B$1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E0-3F42-8D4B-0EC0B1309B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E0-3F42-8D4B-0EC0B1309B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E0-3F42-8D4B-0EC0B1309B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E0-3F42-8D4B-0EC0B1309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3'!$A$2:$A$6</c:f>
              <c:strCache>
                <c:ptCount val="4"/>
                <c:pt idx="0">
                  <c:v>Barely Started (0–24%)</c:v>
                </c:pt>
                <c:pt idx="1">
                  <c:v>Got Going (25–74%)</c:v>
                </c:pt>
                <c:pt idx="2">
                  <c:v>Nearly There (75–99%)</c:v>
                </c:pt>
                <c:pt idx="3">
                  <c:v>Fully Finished</c:v>
                </c:pt>
              </c:strCache>
            </c:strRef>
          </c:cat>
          <c:val>
            <c:numRef>
              <c:f>'Chart 3'!$B$2:$B$6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38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E6-8040-9371-2E19C6F9DC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[LibbyDataExport-For Workshop Week 6.xlsx]Chart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Your busiest reading months of the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C-AE46-8FA3-340667DE53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4'!$A$2:$A$14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4'!$B$2:$B$14</c:f>
              <c:numCache>
                <c:formatCode>General</c:formatCode>
                <c:ptCount val="12"/>
                <c:pt idx="0">
                  <c:v>11</c:v>
                </c:pt>
                <c:pt idx="1">
                  <c:v>17</c:v>
                </c:pt>
                <c:pt idx="2">
                  <c:v>11</c:v>
                </c:pt>
                <c:pt idx="3">
                  <c:v>14</c:v>
                </c:pt>
                <c:pt idx="4">
                  <c:v>15</c:v>
                </c:pt>
                <c:pt idx="5">
                  <c:v>19</c:v>
                </c:pt>
                <c:pt idx="6">
                  <c:v>10</c:v>
                </c:pt>
                <c:pt idx="7">
                  <c:v>4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5-DA41-AD3D-16CDBFB2A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665199"/>
        <c:axId val="668561647"/>
      </c:barChart>
      <c:catAx>
        <c:axId val="66866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68561647"/>
        <c:crosses val="autoZero"/>
        <c:auto val="1"/>
        <c:lblAlgn val="ctr"/>
        <c:lblOffset val="100"/>
        <c:noMultiLvlLbl val="0"/>
      </c:catAx>
      <c:valAx>
        <c:axId val="6685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6866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[LibbyDataExport-For Workshop Week 6.xlsx]Chart 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Reading Completion Rate by Library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5'!$A$2:$A$4</c:f>
              <c:strCache>
                <c:ptCount val="2"/>
                <c:pt idx="0">
                  <c:v>Lower North Island</c:v>
                </c:pt>
                <c:pt idx="1">
                  <c:v>Wellington City Libraries</c:v>
                </c:pt>
              </c:strCache>
            </c:strRef>
          </c:cat>
          <c:val>
            <c:numRef>
              <c:f>'Chart 5'!$B$2:$B$4</c:f>
              <c:numCache>
                <c:formatCode>0.00</c:formatCode>
                <c:ptCount val="2"/>
                <c:pt idx="0">
                  <c:v>89.476190476190482</c:v>
                </c:pt>
                <c:pt idx="1">
                  <c:v>87.907692307692301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744F-B623-F304790E2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490767"/>
        <c:axId val="778492479"/>
      </c:barChart>
      <c:catAx>
        <c:axId val="7784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78492479"/>
        <c:crosses val="autoZero"/>
        <c:auto val="1"/>
        <c:lblAlgn val="ctr"/>
        <c:lblOffset val="100"/>
        <c:noMultiLvlLbl val="0"/>
      </c:catAx>
      <c:valAx>
        <c:axId val="7784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7849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E9657-5DDD-566A-B2F1-617CA4302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775268</xdr:colOff>
      <xdr:row>4</xdr:row>
      <xdr:rowOff>97430</xdr:rowOff>
    </xdr:from>
    <xdr:to>
      <xdr:col>10</xdr:col>
      <xdr:colOff>399955</xdr:colOff>
      <xdr:row>18</xdr:row>
      <xdr:rowOff>186899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D19034-145A-784D-AC7A-8CBBC642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61866-0C77-85F4-20C3-62B35AFC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444500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6194E-D952-3FE3-72C6-C1382A93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1BB86-C495-5DCF-AFF1-7E52FB713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ại Ngân Giang" refreshedDate="46117.790037962965" createdVersion="8" refreshedVersion="8" minRefreshableVersion="3" recordCount="128" xr:uid="{91692D45-1F24-D444-9138-8546FB344201}">
  <cacheSource type="worksheet">
    <worksheetSource name="Table1"/>
  </cacheSource>
  <cacheFields count="18">
    <cacheField name="Title" numFmtId="0">
      <sharedItems containsBlank="1"/>
    </cacheField>
    <cacheField name="Author" numFmtId="0">
      <sharedItems/>
    </cacheField>
    <cacheField name="Genre" numFmtId="0">
      <sharedItems count="15">
        <s v="Fiction"/>
        <s v="Sci-Fi / Speculative"/>
        <s v="Classic Literature"/>
        <s v="Nonfiction"/>
        <s v="Historical Fiction"/>
        <s v="Juvenile Fiction"/>
        <s v="Literary Fiction"/>
        <s v="Nonfiction / Memoir"/>
        <s v="Thriller"/>
        <s v="Coming-of-Age"/>
        <s v="Speculative Fiction" u="1"/>
        <s v="Science fiction" u="1"/>
        <s v="Nonfiction Memoir" u="1"/>
        <s v="Autobiography" u="1"/>
        <s v="Historical Fic" u="1"/>
      </sharedItems>
    </cacheField>
    <cacheField name="Sub-genre" numFmtId="0">
      <sharedItems/>
    </cacheField>
    <cacheField name="Year of release" numFmtId="0">
      <sharedItems containsString="0" containsBlank="1" containsNumber="1" containsInteger="1" minValue="1990" maxValue="2025"/>
    </cacheField>
    <cacheField name="# in series" numFmtId="0">
      <sharedItems containsString="0" containsBlank="1" containsNumber="1" minValue="1" maxValue="27"/>
    </cacheField>
    <cacheField name="Publisher" numFmtId="0">
      <sharedItems containsBlank="1"/>
    </cacheField>
    <cacheField name="ISBN" numFmtId="0">
      <sharedItems containsBlank="1" containsMixedTypes="1" containsNumber="1" containsInteger="1" minValue="9780007310341" maxValue="9789629544591"/>
    </cacheField>
    <cacheField name="Issue date" numFmtId="14">
      <sharedItems containsSemiMixedTypes="0" containsNonDate="0" containsDate="1" containsString="0" minDate="2020-01-01T00:00:00" maxDate="2025-06-25T00:00:00"/>
    </cacheField>
    <cacheField name="Month" numFmtId="0">
      <sharedItems containsMixedTypes="1" containsNumber="1" containsInteger="1" minValue="1" maxValue="12" count="24">
        <s v="July"/>
        <s v="April"/>
        <s v="June"/>
        <s v="May"/>
        <s v="October"/>
        <s v="November"/>
        <s v="February"/>
        <s v="January"/>
        <s v="March"/>
        <s v="December"/>
        <s v="September"/>
        <s v="August"/>
        <n v="7" u="1"/>
        <n v="4" u="1"/>
        <n v="6" u="1"/>
        <n v="5" u="1"/>
        <n v="10" u="1"/>
        <n v="11" u="1"/>
        <n v="2" u="1"/>
        <n v="8" u="1"/>
        <n v="3" u="1"/>
        <n v="1" u="1"/>
        <n v="12" u="1"/>
        <n v="9" u="1"/>
      </sharedItems>
    </cacheField>
    <cacheField name="Year" numFmtId="1">
      <sharedItems containsSemiMixedTypes="0" containsString="0" containsNumber="1" containsInteger="1" minValue="2020" maxValue="2025" count="6">
        <n v="2020"/>
        <n v="2023"/>
        <n v="2024"/>
        <n v="2022"/>
        <n v="2021"/>
        <n v="2025"/>
      </sharedItems>
    </cacheField>
    <cacheField name="Time borrowed" numFmtId="164">
      <sharedItems containsSemiMixedTypes="0" containsNonDate="0" containsDate="1" containsString="0" minDate="1899-12-30T05:09:00" maxDate="1900-01-04T19:09:00"/>
    </cacheField>
    <cacheField name="Activity" numFmtId="0">
      <sharedItems/>
    </cacheField>
    <cacheField name="Duration (hours)" numFmtId="0">
      <sharedItems containsSemiMixedTypes="0" containsString="0" containsNumber="1" minValue="0.5" maxValue="37"/>
    </cacheField>
    <cacheField name="Reading status (%)" numFmtId="0">
      <sharedItems containsSemiMixedTypes="0" containsString="0" containsNumber="1" containsInteger="1" minValue="0" maxValue="100"/>
    </cacheField>
    <cacheField name="Group" numFmtId="0">
      <sharedItems count="11">
        <s v="Fully Finished"/>
        <s v="Nearly There (75–99%)"/>
        <s v="Barely Started (0–24%)"/>
        <s v="Got Going (25–74%)"/>
        <s v="Fully Finished = 100%" u="1"/>
        <s v="Mostly Done &gt;= 75%" u="1"/>
        <s v="Barely Started &gt;= 0%" u="1"/>
        <s v="Partially Read &gt;= 25%" u="1"/>
        <s v="Mostly Done" u="1"/>
        <s v="Barely Started" u="1"/>
        <s v="Partially Read" u="1"/>
      </sharedItems>
    </cacheField>
    <cacheField name="Borrow duration (days)" numFmtId="0">
      <sharedItems containsSemiMixedTypes="0" containsString="0" containsNumber="1" containsInteger="1" minValue="0" maxValue="21"/>
    </cacheField>
    <cacheField name="Library" numFmtId="0">
      <sharedItems count="2">
        <s v="Lower North Island"/>
        <s v="Wellington City Libra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The Fellowship of the Ring"/>
    <s v="J.R.R. Tolkien"/>
    <x v="0"/>
    <s v="Epic Fantasy"/>
    <n v="1990"/>
    <n v="1"/>
    <s v="Recorded Books"/>
    <m/>
    <d v="2020-07-13T00:00:00"/>
    <x v="0"/>
    <x v="0"/>
    <d v="1900-01-03T06:09:00"/>
    <s v="Borrowed"/>
    <n v="19"/>
    <n v="100"/>
    <x v="0"/>
    <n v="21"/>
    <x v="0"/>
  </r>
  <r>
    <s v="Cloud Atlas"/>
    <s v="David Mitchell"/>
    <x v="1"/>
    <s v="Sci-fi Anthology"/>
    <n v="2004"/>
    <m/>
    <s v="Hodder &amp; Stoughton"/>
    <m/>
    <d v="2020-04-07T00:00:00"/>
    <x v="1"/>
    <x v="0"/>
    <d v="1899-12-31T02:09:00"/>
    <s v="Borrowed"/>
    <n v="22"/>
    <n v="100"/>
    <x v="0"/>
    <n v="21"/>
    <x v="0"/>
  </r>
  <r>
    <s v="The Bad Beginning"/>
    <s v="Lemony Snicket"/>
    <x v="0"/>
    <s v="Thriller / Mystery"/>
    <n v="2004"/>
    <n v="1"/>
    <s v="HarperCollins"/>
    <n v="9780060817916"/>
    <d v="2023-06-14T00:00:00"/>
    <x v="2"/>
    <x v="1"/>
    <d v="1900-01-03T01:09:00"/>
    <s v="Borrowed"/>
    <n v="3"/>
    <n v="100"/>
    <x v="0"/>
    <n v="21"/>
    <x v="1"/>
  </r>
  <r>
    <m/>
    <s v="Stephenie Meyer"/>
    <x v="0"/>
    <s v="Fantasy / Romance"/>
    <n v="2005"/>
    <n v="1"/>
    <s v="Books on Tape"/>
    <n v="9780307280916"/>
    <d v="2023-05-31T00:00:00"/>
    <x v="3"/>
    <x v="1"/>
    <d v="1900-01-04T13:09:00"/>
    <s v="Borrowed"/>
    <n v="13"/>
    <n v="98"/>
    <x v="1"/>
    <n v="20"/>
    <x v="1"/>
  </r>
  <r>
    <s v="Persuasion"/>
    <s v="Jane Austen"/>
    <x v="2"/>
    <s v="Romance / Historical Fiction"/>
    <n v="2006"/>
    <m/>
    <s v="Blackstone Publishing"/>
    <n v="9781483088907"/>
    <d v="2023-10-01T00:00:00"/>
    <x v="4"/>
    <x v="1"/>
    <d v="1900-01-02T00:09:00"/>
    <s v="Borrowed"/>
    <n v="8"/>
    <n v="98"/>
    <x v="1"/>
    <n v="12"/>
    <x v="1"/>
  </r>
  <r>
    <s v="Sense and Sensibility"/>
    <s v="Jane Austen"/>
    <x v="2"/>
    <s v="Romance / Historical Fiction"/>
    <n v="2006"/>
    <m/>
    <s v="Naxos AudioBooks"/>
    <n v="9789629544591"/>
    <d v="2024-05-03T00:00:00"/>
    <x v="3"/>
    <x v="2"/>
    <d v="1900-01-02T13:09:00"/>
    <s v="Borrowed"/>
    <n v="13"/>
    <n v="100"/>
    <x v="0"/>
    <n v="20"/>
    <x v="1"/>
  </r>
  <r>
    <s v="The Princess Bride"/>
    <s v="William Goldman"/>
    <x v="0"/>
    <s v="Fantasy"/>
    <n v="2006"/>
    <m/>
    <s v="Phoenix Books, Inc."/>
    <n v="9781607472469"/>
    <d v="2024-06-08T00:00:00"/>
    <x v="2"/>
    <x v="2"/>
    <d v="1900-01-03T22:09:00"/>
    <s v="Borrowed"/>
    <n v="3"/>
    <n v="77"/>
    <x v="1"/>
    <n v="21"/>
    <x v="1"/>
  </r>
  <r>
    <s v="The 48 Laws of Power (abridged)"/>
    <s v="Robert Greene"/>
    <x v="3"/>
    <s v="Self‑help / Strategy"/>
    <n v="2007"/>
    <m/>
    <s v="HighBridge / Recorded Books"/>
    <m/>
    <d v="2020-11-06T00:00:00"/>
    <x v="5"/>
    <x v="0"/>
    <d v="1900-01-02T21:09:00"/>
    <s v="Borrowed"/>
    <n v="10"/>
    <n v="100"/>
    <x v="0"/>
    <n v="21"/>
    <x v="0"/>
  </r>
  <r>
    <s v="Adventures of Sherlock Holmes, volume 1"/>
    <s v="Sir Arthur Conan Doyle"/>
    <x v="0"/>
    <s v="Mystery / Detective"/>
    <n v="2008"/>
    <n v="1"/>
    <s v="Canongate Books"/>
    <n v="9781908377098"/>
    <d v="2024-02-24T00:00:00"/>
    <x v="6"/>
    <x v="2"/>
    <d v="1899-12-30T12:09:00"/>
    <s v="Borrowed"/>
    <n v="3"/>
    <n v="99"/>
    <x v="1"/>
    <n v="20"/>
    <x v="1"/>
  </r>
  <r>
    <s v="Adventures of Sherlock Holmes, volume 2"/>
    <s v="Sir Arthur Conan Doyle"/>
    <x v="0"/>
    <s v="Mystery / Detective"/>
    <n v="2008"/>
    <n v="2"/>
    <s v="Canongate Books"/>
    <n v="9781908377104"/>
    <d v="2024-02-24T00:00:00"/>
    <x v="6"/>
    <x v="2"/>
    <d v="1899-12-30T13:09:00"/>
    <s v="Borrowed"/>
    <n v="3"/>
    <n v="99"/>
    <x v="1"/>
    <n v="21"/>
    <x v="1"/>
  </r>
  <r>
    <s v="Brisingr"/>
    <s v="Christopher Paolini"/>
    <x v="0"/>
    <s v="Fantasy"/>
    <n v="2008"/>
    <n v="3"/>
    <s v="Books on Tape"/>
    <n v="9780739368053"/>
    <d v="2023-06-10T00:00:00"/>
    <x v="2"/>
    <x v="1"/>
    <d v="1899-12-31T00:09:00"/>
    <s v="Borrowed"/>
    <n v="30"/>
    <n v="100"/>
    <x v="0"/>
    <n v="21"/>
    <x v="1"/>
  </r>
  <r>
    <s v="The Hunger Games"/>
    <s v="Suzanne Collins"/>
    <x v="1"/>
    <s v="Dystopian"/>
    <n v="2008"/>
    <n v="1"/>
    <s v="Scholastic Inc."/>
    <m/>
    <d v="2023-04-26T00:00:00"/>
    <x v="1"/>
    <x v="1"/>
    <d v="1900-01-03T10:09:00"/>
    <s v="Borrowed"/>
    <n v="11"/>
    <n v="99"/>
    <x v="1"/>
    <n v="20"/>
    <x v="1"/>
  </r>
  <r>
    <s v="A Study in Scarlet"/>
    <s v="Sir Arthur Conan Doyle"/>
    <x v="0"/>
    <s v="Mystery / Detective"/>
    <n v="2009"/>
    <n v="1"/>
    <s v="Tantor Media, Inc"/>
    <n v="9781400185139"/>
    <d v="2024-02-12T00:00:00"/>
    <x v="6"/>
    <x v="2"/>
    <d v="1899-12-30T10:09:00"/>
    <s v="Borrowed"/>
    <n v="5"/>
    <n v="100"/>
    <x v="0"/>
    <n v="20"/>
    <x v="1"/>
  </r>
  <r>
    <s v="Catching Fire"/>
    <s v="Suzanne Collins"/>
    <x v="1"/>
    <s v="Dystopian"/>
    <n v="2009"/>
    <n v="2"/>
    <s v="Scholastic Audio"/>
    <m/>
    <d v="2023-05-18T00:00:00"/>
    <x v="3"/>
    <x v="1"/>
    <d v="1899-12-31T01:09:00"/>
    <s v="Borrowed"/>
    <n v="12"/>
    <n v="99"/>
    <x v="1"/>
    <n v="19"/>
    <x v="1"/>
  </r>
  <r>
    <s v="The Adventures of Sherlock Holmes"/>
    <s v="Sir Arthur Conan Doyle"/>
    <x v="0"/>
    <s v="Mystery / Detective"/>
    <n v="2009"/>
    <n v="3"/>
    <s v="Blackstone Publishing"/>
    <n v="9781483089942"/>
    <d v="2024-02-16T00:00:00"/>
    <x v="6"/>
    <x v="2"/>
    <d v="1900-01-02T23:09:00"/>
    <s v="Borrowed"/>
    <n v="9"/>
    <n v="93"/>
    <x v="1"/>
    <n v="20"/>
    <x v="1"/>
  </r>
  <r>
    <s v="The Hound of the Baskervilles"/>
    <s v="Sir Arthur Conan Doyle"/>
    <x v="0"/>
    <s v="Mystery / Detective"/>
    <n v="2009"/>
    <n v="5"/>
    <s v="Tantor Media, Inc"/>
    <n v="9781400185153"/>
    <d v="2024-02-19T00:00:00"/>
    <x v="6"/>
    <x v="2"/>
    <d v="1900-01-03T09:09:00"/>
    <s v="Borrowed"/>
    <n v="7"/>
    <n v="88"/>
    <x v="1"/>
    <n v="21"/>
    <x v="1"/>
  </r>
  <r>
    <s v="The Sign of Four"/>
    <s v="Sir Arthur Conan Doyle"/>
    <x v="0"/>
    <s v="Mystery / Detective"/>
    <n v="2009"/>
    <n v="2"/>
    <s v="Tantor Media, Inc"/>
    <n v="9781400185146"/>
    <d v="2024-02-12T00:00:00"/>
    <x v="6"/>
    <x v="2"/>
    <d v="1900-01-04T06:09:00"/>
    <s v="Borrowed"/>
    <n v="5"/>
    <n v="100"/>
    <x v="0"/>
    <n v="21"/>
    <x v="1"/>
  </r>
  <r>
    <s v="Wolf Hall"/>
    <s v="Hilary Mantel"/>
    <x v="4"/>
    <s v="Tudor politics"/>
    <n v="2009"/>
    <n v="1"/>
    <s v="Fourth Estate"/>
    <n v="9780007310341"/>
    <d v="2020-11-01T00:00:00"/>
    <x v="5"/>
    <x v="0"/>
    <d v="1900-01-04T17:09:00"/>
    <s v="Borrowed"/>
    <n v="37"/>
    <n v="100"/>
    <x v="0"/>
    <n v="21"/>
    <x v="0"/>
  </r>
  <r>
    <s v="Wolf Hall"/>
    <s v="Hilary Mantel"/>
    <x v="4"/>
    <s v="Tudor politics"/>
    <n v="2009"/>
    <n v="1"/>
    <s v="Fourth Estate"/>
    <s v="978-0007310341"/>
    <d v="2020-01-01T00:00:00"/>
    <x v="7"/>
    <x v="0"/>
    <d v="1900-01-04T18:09:00"/>
    <s v="Borrowed"/>
    <n v="37"/>
    <n v="0"/>
    <x v="2"/>
    <n v="21"/>
    <x v="0"/>
  </r>
  <r>
    <s v="Death on the Nile"/>
    <s v="Agatha Christie"/>
    <x v="0"/>
    <s v="Mystery"/>
    <n v="2010"/>
    <n v="2"/>
    <s v="BBC Audio"/>
    <n v="9781408481912"/>
    <d v="2023-07-16T00:00:00"/>
    <x v="0"/>
    <x v="1"/>
    <d v="1899-12-31T04:09:00"/>
    <s v="Borrowed"/>
    <n v="2"/>
    <n v="100"/>
    <x v="0"/>
    <n v="7"/>
    <x v="1"/>
  </r>
  <r>
    <s v="Dracula"/>
    <s v="Bram Stoker"/>
    <x v="2"/>
    <s v="Horror"/>
    <n v="2010"/>
    <m/>
    <s v="Duke Classics"/>
    <m/>
    <d v="2024-01-17T00:00:00"/>
    <x v="7"/>
    <x v="2"/>
    <d v="1899-12-31T05:09:00"/>
    <s v="Borrowed"/>
    <n v="19"/>
    <n v="100"/>
    <x v="0"/>
    <n v="19"/>
    <x v="1"/>
  </r>
  <r>
    <s v="Mockingjay"/>
    <s v="Suzanne Collins"/>
    <x v="1"/>
    <s v="Dystopian"/>
    <n v="2010"/>
    <n v="3"/>
    <s v="Scholastic Audio"/>
    <m/>
    <d v="2023-05-18T00:00:00"/>
    <x v="3"/>
    <x v="1"/>
    <d v="1900-01-01T10:09:00"/>
    <s v="Borrowed"/>
    <n v="12"/>
    <n v="98"/>
    <x v="1"/>
    <n v="21"/>
    <x v="1"/>
  </r>
  <r>
    <s v="Pride and Prejudice"/>
    <s v="Jane Austen"/>
    <x v="2"/>
    <s v="Romance / Historical Fiction"/>
    <n v="2010"/>
    <m/>
    <s v="Duke Classics"/>
    <m/>
    <d v="2024-05-25T00:00:00"/>
    <x v="3"/>
    <x v="2"/>
    <d v="1900-01-02T06:09:00"/>
    <s v="Borrowed"/>
    <n v="12"/>
    <n v="100"/>
    <x v="0"/>
    <n v="21"/>
    <x v="1"/>
  </r>
  <r>
    <s v="Pride and Prejudice"/>
    <s v="Jane Austen"/>
    <x v="2"/>
    <s v="Romance / Historical Fiction"/>
    <n v="2010"/>
    <m/>
    <s v="Duke Classics"/>
    <m/>
    <d v="2024-01-02T00:00:00"/>
    <x v="7"/>
    <x v="2"/>
    <d v="1900-01-02T04:09:00"/>
    <s v="Borrowed"/>
    <n v="12"/>
    <n v="99"/>
    <x v="1"/>
    <n v="21"/>
    <x v="1"/>
  </r>
  <r>
    <s v="Pride and Prejudice"/>
    <s v="Jane Austen"/>
    <x v="2"/>
    <s v="Romance / Historical Fiction"/>
    <n v="2010"/>
    <m/>
    <s v="Duke Classics"/>
    <m/>
    <d v="2023-10-01T00:00:00"/>
    <x v="4"/>
    <x v="1"/>
    <d v="1900-01-02T07:09:00"/>
    <s v="Borrowed"/>
    <n v="12"/>
    <n v="100"/>
    <x v="0"/>
    <n v="12"/>
    <x v="1"/>
  </r>
  <r>
    <s v="Pride and Prejudice"/>
    <s v="Jane Austen"/>
    <x v="2"/>
    <s v="Romance / Historical Fiction"/>
    <n v="2010"/>
    <m/>
    <s v="Duke Classics"/>
    <m/>
    <d v="2023-07-01T00:00:00"/>
    <x v="0"/>
    <x v="1"/>
    <d v="1900-01-02T03:09:00"/>
    <s v="Borrowed"/>
    <n v="12"/>
    <n v="98"/>
    <x v="1"/>
    <n v="21"/>
    <x v="1"/>
  </r>
  <r>
    <s v="Pride and Prejudice"/>
    <s v="Jane Austen"/>
    <x v="2"/>
    <s v="Romance / Historical Fiction"/>
    <n v="2010"/>
    <m/>
    <s v="Duke Classics"/>
    <m/>
    <d v="2023-04-02T00:00:00"/>
    <x v="1"/>
    <x v="1"/>
    <d v="1900-01-02T05:09:00"/>
    <s v="Borrowed"/>
    <n v="12"/>
    <n v="100"/>
    <x v="0"/>
    <n v="21"/>
    <x v="1"/>
  </r>
  <r>
    <s v="The Battle of the Labyrinth"/>
    <s v="Rick Riordan"/>
    <x v="5"/>
    <s v="Fantasy / Mythology"/>
    <n v="2010"/>
    <n v="4"/>
    <s v="Penguin Random House Children's UK"/>
    <n v="9780141962276"/>
    <d v="2024-03-11T00:00:00"/>
    <x v="8"/>
    <x v="2"/>
    <d v="1900-01-03T02:09:00"/>
    <s v="Borrowed"/>
    <n v="11"/>
    <n v="99"/>
    <x v="1"/>
    <n v="21"/>
    <x v="1"/>
  </r>
  <r>
    <s v="The Last Olympian"/>
    <s v="Rick Riordan"/>
    <x v="5"/>
    <s v="Fantasy / Mythology"/>
    <n v="2010"/>
    <n v="5"/>
    <s v="Penguin Random House Children's UK"/>
    <n v="9780141962290"/>
    <d v="2024-04-21T00:00:00"/>
    <x v="1"/>
    <x v="2"/>
    <d v="1900-01-03T13:09:00"/>
    <s v="Borrowed"/>
    <n v="11"/>
    <n v="100"/>
    <x v="0"/>
    <n v="21"/>
    <x v="1"/>
  </r>
  <r>
    <s v="The Lightning Thief"/>
    <s v="Rick Riordan"/>
    <x v="5"/>
    <s v="Fantasy / Mythology"/>
    <n v="2010"/>
    <n v="1"/>
    <s v="Penguin Random House Children's UK"/>
    <n v="9780141961941"/>
    <d v="2024-10-26T00:00:00"/>
    <x v="4"/>
    <x v="2"/>
    <d v="1900-01-03T17:09:00"/>
    <s v="Borrowed"/>
    <n v="10"/>
    <n v="88"/>
    <x v="1"/>
    <n v="13"/>
    <x v="1"/>
  </r>
  <r>
    <s v="The Sea of Monsters"/>
    <s v="Rick Riordan"/>
    <x v="5"/>
    <s v="Fantasy / Mythology"/>
    <n v="2010"/>
    <n v="1"/>
    <s v="Penguin Random House Children's UK"/>
    <n v="9780141962269"/>
    <d v="2023-04-23T00:00:00"/>
    <x v="1"/>
    <x v="1"/>
    <d v="1900-01-04T00:09:00"/>
    <s v="Borrowed"/>
    <n v="8"/>
    <n v="99"/>
    <x v="1"/>
    <n v="21"/>
    <x v="1"/>
  </r>
  <r>
    <s v="The Titan's Curse"/>
    <s v="Rick Riordan"/>
    <x v="5"/>
    <s v="Fantasy / Mythology"/>
    <n v="2010"/>
    <n v="3"/>
    <s v="Penguin Random House Children's UK"/>
    <n v="9780141962283"/>
    <d v="2024-02-16T00:00:00"/>
    <x v="6"/>
    <x v="2"/>
    <d v="1900-01-04T08:09:00"/>
    <s v="Borrowed"/>
    <n v="9"/>
    <n v="100"/>
    <x v="0"/>
    <n v="21"/>
    <x v="1"/>
  </r>
  <r>
    <s v="Eldest"/>
    <s v="Christopher Paolini"/>
    <x v="0"/>
    <s v="Fantasy"/>
    <n v="2011"/>
    <n v="2"/>
    <s v="Books on Tape"/>
    <n v="9781407041520"/>
    <d v="2022-06-03T00:00:00"/>
    <x v="2"/>
    <x v="3"/>
    <d v="1899-12-31T06:09:00"/>
    <s v="Borrowed"/>
    <n v="9"/>
    <n v="97"/>
    <x v="1"/>
    <n v="20"/>
    <x v="1"/>
  </r>
  <r>
    <s v="Eldest"/>
    <s v="Christopher Paolini"/>
    <x v="0"/>
    <s v="Fantasy"/>
    <n v="2011"/>
    <n v="2"/>
    <s v="Penguin Random House Children's UK"/>
    <n v="9781407047171"/>
    <d v="2023-04-01T00:00:00"/>
    <x v="1"/>
    <x v="1"/>
    <d v="1899-12-31T07:09:00"/>
    <s v="Borrowed"/>
    <n v="9"/>
    <n v="100"/>
    <x v="0"/>
    <n v="21"/>
    <x v="1"/>
  </r>
  <r>
    <s v="Eragon"/>
    <s v="Christopher Paolini"/>
    <x v="0"/>
    <s v="Fantasy"/>
    <n v="2011"/>
    <n v="1"/>
    <s v="Books on Tape"/>
    <m/>
    <d v="2024-10-20T00:00:00"/>
    <x v="4"/>
    <x v="2"/>
    <d v="1899-12-31T11:09:00"/>
    <s v="Borrowed"/>
    <n v="16"/>
    <n v="99"/>
    <x v="1"/>
    <n v="17"/>
    <x v="0"/>
  </r>
  <r>
    <s v="Eragon"/>
    <s v="Christopher Paolini"/>
    <x v="0"/>
    <s v="Fantasy"/>
    <n v="2011"/>
    <m/>
    <s v="Books on Tape"/>
    <n v="9780807219645"/>
    <d v="2023-03-25T00:00:00"/>
    <x v="8"/>
    <x v="1"/>
    <d v="1899-12-31T09:09:00"/>
    <s v="Borrowed"/>
    <n v="16"/>
    <n v="28"/>
    <x v="3"/>
    <n v="13"/>
    <x v="1"/>
  </r>
  <r>
    <s v="Eragon"/>
    <s v="Christopher Paolini"/>
    <x v="0"/>
    <s v="Fantasy"/>
    <n v="2011"/>
    <n v="1"/>
    <s v="Books on Tape"/>
    <n v="9781448197736"/>
    <d v="2021-05-14T00:00:00"/>
    <x v="3"/>
    <x v="4"/>
    <d v="1899-12-31T12:09:00"/>
    <s v="Borrowed"/>
    <n v="16"/>
    <n v="100"/>
    <x v="0"/>
    <n v="20"/>
    <x v="1"/>
  </r>
  <r>
    <s v="Inheritance, Part One"/>
    <s v="Christopher Paolini"/>
    <x v="0"/>
    <s v="Fantasy"/>
    <n v="2011"/>
    <n v="4.0999999999999996"/>
    <s v="Random House Audiobooks"/>
    <n v="9781446453605"/>
    <d v="2023-06-18T00:00:00"/>
    <x v="2"/>
    <x v="1"/>
    <d v="1900-01-01T01:09:00"/>
    <s v="Borrowed"/>
    <n v="16"/>
    <n v="97"/>
    <x v="1"/>
    <n v="21"/>
    <x v="1"/>
  </r>
  <r>
    <s v="Inheritance, Part Two"/>
    <s v="Christopher Paolini"/>
    <x v="0"/>
    <s v="Fantasy"/>
    <n v="2011"/>
    <n v="4.2"/>
    <s v="Random House Audiobooks"/>
    <n v="9781446453612"/>
    <d v="2024-05-21T00:00:00"/>
    <x v="3"/>
    <x v="2"/>
    <d v="1900-01-01T03:09:00"/>
    <s v="Borrowed"/>
    <n v="16"/>
    <n v="100"/>
    <x v="0"/>
    <n v="21"/>
    <x v="1"/>
  </r>
  <r>
    <s v="The Sense of an Ending"/>
    <s v="Julian Barnes"/>
    <x v="6"/>
    <s v="Psychological"/>
    <n v="2011"/>
    <m/>
    <s v="Jonathan Cape"/>
    <s v="978-0099570148"/>
    <d v="2020-07-01T00:00:00"/>
    <x v="0"/>
    <x v="0"/>
    <d v="1900-01-04T03:09:00"/>
    <s v="Borrowed"/>
    <n v="7"/>
    <n v="100"/>
    <x v="0"/>
    <n v="21"/>
    <x v="0"/>
  </r>
  <r>
    <s v="The Sense of an Ending"/>
    <s v="Julian Barnes"/>
    <x v="6"/>
    <s v="Psychological"/>
    <n v="2011"/>
    <m/>
    <s v="Jonathan Cape"/>
    <n v="9780099570148"/>
    <d v="2020-05-02T00:00:00"/>
    <x v="3"/>
    <x v="0"/>
    <d v="1900-01-04T02:09:00"/>
    <s v="Borrowed"/>
    <n v="7"/>
    <n v="20"/>
    <x v="2"/>
    <n v="19"/>
    <x v="0"/>
  </r>
  <r>
    <s v="Bring Up the Bodies"/>
    <s v="Hilary Mantel"/>
    <x v="4"/>
    <s v="Tudor politics"/>
    <n v="2012"/>
    <n v="2"/>
    <s v="Fourth Estate"/>
    <n v="9780007422685"/>
    <d v="2021-12-01T00:00:00"/>
    <x v="9"/>
    <x v="4"/>
    <d v="1899-12-30T21:09:00"/>
    <s v="Borrowed"/>
    <n v="23"/>
    <n v="73"/>
    <x v="3"/>
    <n v="21"/>
    <x v="0"/>
  </r>
  <r>
    <s v="Bring Up the Bodies"/>
    <s v="Hilary Mantel"/>
    <x v="4"/>
    <s v="Tudor politics"/>
    <n v="2012"/>
    <n v="2"/>
    <s v="Fourth Estate"/>
    <s v="978-0007422685"/>
    <d v="2021-02-01T00:00:00"/>
    <x v="6"/>
    <x v="4"/>
    <d v="1899-12-30T22:09:00"/>
    <s v="Borrowed"/>
    <n v="23"/>
    <n v="22"/>
    <x v="2"/>
    <n v="21"/>
    <x v="0"/>
  </r>
  <r>
    <s v="Justice"/>
    <s v="Michael J. Sandel"/>
    <x v="3"/>
    <s v="Philosophy / Politics"/>
    <n v="2012"/>
    <m/>
    <s v="Penguin Books Ltd"/>
    <n v="9780718197155"/>
    <d v="2025-05-19T00:00:00"/>
    <x v="3"/>
    <x v="5"/>
    <d v="1900-01-01T05:09:00"/>
    <s v="Borrowed"/>
    <n v="11"/>
    <n v="98"/>
    <x v="1"/>
    <n v="21"/>
    <x v="1"/>
  </r>
  <r>
    <s v="Murder on the Orient Express"/>
    <s v="Agatha Christie"/>
    <x v="2"/>
    <s v="Mystery"/>
    <n v="2014"/>
    <m/>
    <s v="W. F. Howes Ltd"/>
    <n v="9780007595204"/>
    <d v="2025-06-01T00:00:00"/>
    <x v="2"/>
    <x v="5"/>
    <d v="1900-01-01T12:09:00"/>
    <s v="Borrowed"/>
    <n v="7"/>
    <n v="100"/>
    <x v="0"/>
    <n v="21"/>
    <x v="0"/>
  </r>
  <r>
    <s v="Rebecca"/>
    <s v="Daphne du Maurier"/>
    <x v="2"/>
    <s v="Thriller"/>
    <n v="2014"/>
    <m/>
    <s v="Hachette Audio"/>
    <n v="9781478924302"/>
    <d v="2024-07-28T00:00:00"/>
    <x v="0"/>
    <x v="2"/>
    <d v="1900-01-02T11:09:00"/>
    <s v="Borrowed"/>
    <n v="15"/>
    <n v="100"/>
    <x v="0"/>
    <n v="20"/>
    <x v="0"/>
  </r>
  <r>
    <s v="The Labours of Hercules"/>
    <s v="Agatha Christie"/>
    <x v="2"/>
    <s v="Mystery"/>
    <n v="2014"/>
    <n v="27"/>
    <s v="W. F. Howes Ltd"/>
    <n v="9780007595464"/>
    <d v="2025-01-07T00:00:00"/>
    <x v="7"/>
    <x v="5"/>
    <d v="1900-01-03T12:09:00"/>
    <s v="Borrowed"/>
    <n v="9"/>
    <n v="58"/>
    <x v="3"/>
    <n v="21"/>
    <x v="1"/>
  </r>
  <r>
    <s v="A Court of Thorns and Roses"/>
    <s v="Sarah J. Maas"/>
    <x v="0"/>
    <s v="Romantic Fantasy"/>
    <n v="2015"/>
    <n v="1"/>
    <s v="Recorded Books"/>
    <m/>
    <d v="2021-06-13T00:00:00"/>
    <x v="2"/>
    <x v="4"/>
    <d v="1899-12-30T06:09:00"/>
    <s v="Borrowed"/>
    <n v="16"/>
    <n v="100"/>
    <x v="0"/>
    <n v="21"/>
    <x v="0"/>
  </r>
  <r>
    <s v="A Game of Thrones"/>
    <s v="George R.R. Martin"/>
    <x v="0"/>
    <s v="Epic Fantasy"/>
    <n v="2015"/>
    <n v="1"/>
    <m/>
    <m/>
    <d v="2020-01-06T00:00:00"/>
    <x v="7"/>
    <x v="0"/>
    <d v="1899-12-30T08:09:00"/>
    <s v="Borrowed"/>
    <n v="34"/>
    <n v="100"/>
    <x v="0"/>
    <n v="21"/>
    <x v="0"/>
  </r>
  <r>
    <s v="Benedict Cumberbatch Reads Sherlock Holmes' Rediscovered Railway Mysteries"/>
    <s v="John Taylor"/>
    <x v="0"/>
    <s v="Mystery / Detective"/>
    <n v="2015"/>
    <m/>
    <s v="BBC Audio"/>
    <n v="9781785291562"/>
    <d v="2024-02-13T00:00:00"/>
    <x v="6"/>
    <x v="2"/>
    <d v="1899-12-30T19:09:00"/>
    <s v="Borrowed"/>
    <n v="2"/>
    <n v="100"/>
    <x v="0"/>
    <n v="21"/>
    <x v="1"/>
  </r>
  <r>
    <s v="The Adventure of the Mazarin Stone"/>
    <s v="Sir Arthur Conan Doyle"/>
    <x v="0"/>
    <s v="Mystery / Detective"/>
    <n v="2015"/>
    <m/>
    <s v="Blackstone Publishing"/>
    <n v="9781483093901"/>
    <d v="2024-02-24T00:00:00"/>
    <x v="6"/>
    <x v="2"/>
    <d v="1900-01-02T22:09:00"/>
    <s v="Borrowed"/>
    <n v="0.5"/>
    <n v="100"/>
    <x v="0"/>
    <n v="21"/>
    <x v="1"/>
  </r>
  <r>
    <s v="The Game Is Afoot"/>
    <s v="Sir Arthur Conan Doyle"/>
    <x v="0"/>
    <s v="Mystery / Detective"/>
    <n v="2015"/>
    <m/>
    <s v="Blackstone Publishing"/>
    <n v="9781504604758"/>
    <d v="2024-02-24T00:00:00"/>
    <x v="6"/>
    <x v="2"/>
    <d v="1900-01-03T08:09:00"/>
    <s v="Borrowed"/>
    <n v="1"/>
    <n v="100"/>
    <x v="0"/>
    <n v="21"/>
    <x v="1"/>
  </r>
  <r>
    <s v="A Court of Mist and Fury"/>
    <s v="Sarah J. Maas"/>
    <x v="0"/>
    <s v="Romantic Fantasy"/>
    <n v="2016"/>
    <n v="2"/>
    <s v="Recorded Books"/>
    <m/>
    <d v="2021-09-13T00:00:00"/>
    <x v="10"/>
    <x v="4"/>
    <d v="1899-12-30T05:09:00"/>
    <s v="Borrowed"/>
    <n v="23"/>
    <n v="100"/>
    <x v="0"/>
    <n v="21"/>
    <x v="0"/>
  </r>
  <r>
    <s v="A Court of Wings and Ruin"/>
    <s v="Sarah J. Maas"/>
    <x v="0"/>
    <s v="Romantic Fantasy"/>
    <n v="2017"/>
    <n v="3"/>
    <s v="Recorded Books"/>
    <m/>
    <d v="2021-12-06T00:00:00"/>
    <x v="9"/>
    <x v="4"/>
    <d v="1899-12-30T07:09:00"/>
    <s v="Borrowed"/>
    <n v="25"/>
    <n v="100"/>
    <x v="0"/>
    <n v="21"/>
    <x v="0"/>
  </r>
  <r>
    <s v="Lincoln in the Bardo"/>
    <s v="George Saunders"/>
    <x v="6"/>
    <s v="Experimental"/>
    <n v="2017"/>
    <m/>
    <s v="Bloomsbury Publishing"/>
    <s v="978-1526605824"/>
    <d v="2021-03-01T00:00:00"/>
    <x v="8"/>
    <x v="4"/>
    <d v="1900-01-01T08:09:00"/>
    <s v="Borrowed"/>
    <n v="18"/>
    <n v="50"/>
    <x v="3"/>
    <n v="21"/>
    <x v="0"/>
  </r>
  <r>
    <s v="Lincoln in the Bardo"/>
    <s v="George Saunders"/>
    <x v="6"/>
    <s v="Experimental"/>
    <n v="2017"/>
    <m/>
    <s v="Bloomsbury Publishing"/>
    <n v="9781526605824"/>
    <d v="2021-02-01T00:00:00"/>
    <x v="6"/>
    <x v="4"/>
    <d v="1900-01-01T07:09:00"/>
    <s v="Borrowed"/>
    <n v="18"/>
    <n v="44"/>
    <x v="3"/>
    <n v="21"/>
    <x v="0"/>
  </r>
  <r>
    <s v="Mythos"/>
    <s v="Stephen Fry"/>
    <x v="4"/>
    <s v="Mythology"/>
    <n v="2017"/>
    <n v="1"/>
    <s v="Penguin Books Ltd"/>
    <n v="9781405934312"/>
    <d v="2024-02-29T00:00:00"/>
    <x v="6"/>
    <x v="2"/>
    <d v="1900-01-01T15:09:00"/>
    <s v="Borrowed"/>
    <n v="15"/>
    <n v="98"/>
    <x v="1"/>
    <n v="21"/>
    <x v="1"/>
  </r>
  <r>
    <s v="Reservoir 13"/>
    <s v="Jon McGregor"/>
    <x v="6"/>
    <s v="Meditative Family"/>
    <n v="2017"/>
    <m/>
    <s v="HarperCollins"/>
    <m/>
    <d v="2021-05-07T00:00:00"/>
    <x v="3"/>
    <x v="4"/>
    <d v="1900-01-02T12:09:00"/>
    <s v="Borrowed"/>
    <n v="9"/>
    <n v="100"/>
    <x v="0"/>
    <n v="21"/>
    <x v="0"/>
  </r>
  <r>
    <s v="This is Going to Hurt"/>
    <s v="Adam Kay"/>
    <x v="7"/>
    <s v="Memoir"/>
    <n v="2017"/>
    <m/>
    <s v="Pan Macmillan"/>
    <n v="9781509858620"/>
    <d v="2023-03-13T00:00:00"/>
    <x v="8"/>
    <x v="1"/>
    <d v="1900-01-04T11:09:00"/>
    <s v="Borrowed"/>
    <n v="6"/>
    <n v="98"/>
    <x v="1"/>
    <n v="11"/>
    <x v="1"/>
  </r>
  <r>
    <s v="Atomic Habits"/>
    <s v="James Clear"/>
    <x v="3"/>
    <s v="Self‑help"/>
    <n v="2018"/>
    <m/>
    <s v="Penguin Audio"/>
    <m/>
    <d v="2021-08-09T00:00:00"/>
    <x v="11"/>
    <x v="4"/>
    <d v="1899-12-30T16:09:00"/>
    <s v="Borrowed"/>
    <n v="6"/>
    <n v="100"/>
    <x v="0"/>
    <n v="21"/>
    <x v="0"/>
  </r>
  <r>
    <s v="Atomic Habits"/>
    <s v="James Clear"/>
    <x v="3"/>
    <s v="Self‑help"/>
    <n v="2018"/>
    <m/>
    <s v="Penguin Audio"/>
    <m/>
    <d v="2021-04-24T00:00:00"/>
    <x v="1"/>
    <x v="4"/>
    <d v="1899-12-30T17:09:00"/>
    <s v="Borrowed"/>
    <n v="6"/>
    <n v="12"/>
    <x v="2"/>
    <n v="21"/>
    <x v="0"/>
  </r>
  <r>
    <s v="The Long Take"/>
    <s v="Robin Robertson"/>
    <x v="0"/>
    <s v="Narrative Poetry / Post-war Noir"/>
    <n v="2018"/>
    <m/>
    <s v="Picador"/>
    <n v="9781509846887"/>
    <d v="2021-11-02T00:00:00"/>
    <x v="5"/>
    <x v="4"/>
    <d v="1900-01-03T18:09:00"/>
    <s v="Borrowed"/>
    <n v="6"/>
    <n v="100"/>
    <x v="0"/>
    <n v="21"/>
    <x v="0"/>
  </r>
  <r>
    <s v="Shuggie Bain"/>
    <s v="Douglas Stuart"/>
    <x v="6"/>
    <s v="Coming of Age"/>
    <n v="2019"/>
    <m/>
    <s v="Grove Press"/>
    <s v="978-0802126989"/>
    <d v="2021-06-01T00:00:00"/>
    <x v="2"/>
    <x v="4"/>
    <d v="1900-01-02T15:09:00"/>
    <s v="Borrowed"/>
    <n v="18"/>
    <n v="100"/>
    <x v="0"/>
    <n v="21"/>
    <x v="0"/>
  </r>
  <r>
    <s v="The Fork, the Witch, and the Worm"/>
    <s v="Christopher Paolini"/>
    <x v="0"/>
    <s v="Fantasy"/>
    <n v="2019"/>
    <n v="4.5"/>
    <s v="Penguin Random House Children's UK"/>
    <n v="9780241395028"/>
    <d v="2023-06-24T00:00:00"/>
    <x v="2"/>
    <x v="1"/>
    <d v="1900-01-03T07:09:00"/>
    <s v="Borrowed"/>
    <n v="5"/>
    <n v="95"/>
    <x v="1"/>
    <n v="21"/>
    <x v="1"/>
  </r>
  <r>
    <s v="Point Blanc"/>
    <s v="Anthony Horowitz"/>
    <x v="0"/>
    <s v="Mystery"/>
    <n v="2020"/>
    <n v="2"/>
    <s v="W. F. Howes Ltd"/>
    <n v="9781004010776"/>
    <d v="2023-06-24T00:00:00"/>
    <x v="2"/>
    <x v="1"/>
    <d v="1900-01-02T01:09:00"/>
    <s v="Borrowed"/>
    <n v="6"/>
    <n v="96"/>
    <x v="1"/>
    <n v="21"/>
    <x v="1"/>
  </r>
  <r>
    <s v="Skeleton Key"/>
    <s v="Anthony Horowitz"/>
    <x v="0"/>
    <s v="Mystery"/>
    <n v="2020"/>
    <n v="3"/>
    <s v="W. F. Howes Ltd"/>
    <n v="9781004010738"/>
    <d v="2023-06-24T00:00:00"/>
    <x v="2"/>
    <x v="1"/>
    <d v="1900-01-02T16:09:00"/>
    <s v="Borrowed"/>
    <n v="7"/>
    <n v="99"/>
    <x v="1"/>
    <n v="21"/>
    <x v="1"/>
  </r>
  <r>
    <s v="Stormbreaker"/>
    <s v="Anthony Horowitz"/>
    <x v="0"/>
    <s v="Mystery"/>
    <n v="2020"/>
    <n v="1"/>
    <s v="W. F. Howes Ltd"/>
    <n v="9781004010714"/>
    <d v="2023-07-06T00:00:00"/>
    <x v="0"/>
    <x v="1"/>
    <d v="1900-01-02T19:09:00"/>
    <s v="Borrowed"/>
    <n v="5"/>
    <n v="100"/>
    <x v="0"/>
    <n v="2"/>
    <x v="1"/>
  </r>
  <r>
    <s v="The Tales of Beedle the Bard"/>
    <s v="J. K. Rowling"/>
    <x v="0"/>
    <s v="Fantasy / Folklore"/>
    <n v="2020"/>
    <m/>
    <s v="Pottermore Publishing"/>
    <n v="9781781103791"/>
    <d v="2023-04-02T00:00:00"/>
    <x v="1"/>
    <x v="1"/>
    <d v="1900-01-04T07:09:00"/>
    <s v="Borrowed"/>
    <n v="2"/>
    <n v="0"/>
    <x v="2"/>
    <n v="0"/>
    <x v="1"/>
  </r>
  <r>
    <s v="Daughter of Gloriavale"/>
    <s v="Lilia Tarawa"/>
    <x v="7"/>
    <s v="Nonfiction / Memoir / Religion and spirituality"/>
    <n v="2021"/>
    <m/>
    <s v="Tantor Media, Inc"/>
    <m/>
    <d v="2023-01-30T00:00:00"/>
    <x v="7"/>
    <x v="1"/>
    <d v="1899-12-31T03:09:00"/>
    <s v="Borrowed"/>
    <n v="9"/>
    <n v="10"/>
    <x v="2"/>
    <n v="21"/>
    <x v="1"/>
  </r>
  <r>
    <s v="My Body Keeps your Secrets"/>
    <s v="Lucia Osborne-Crowley"/>
    <x v="3"/>
    <s v="Nonfiction / Memoir / Feminism"/>
    <n v="2021"/>
    <m/>
    <s v="W. F. Howes Ltd"/>
    <m/>
    <d v="2024-04-17T00:00:00"/>
    <x v="1"/>
    <x v="2"/>
    <d v="1900-01-01T14:09:00"/>
    <s v="Borrowed"/>
    <n v="10"/>
    <n v="50"/>
    <x v="3"/>
    <n v="13"/>
    <x v="1"/>
  </r>
  <r>
    <s v="Oh William!"/>
    <s v="Elizabeth Strout"/>
    <x v="6"/>
    <s v="Contemporary Sitcom"/>
    <n v="2021"/>
    <m/>
    <s v="Penguin Audio"/>
    <m/>
    <d v="2022-08-02T00:00:00"/>
    <x v="11"/>
    <x v="3"/>
    <d v="1900-01-01T19:09:00"/>
    <s v="Borrowed"/>
    <n v="7"/>
    <n v="100"/>
    <x v="0"/>
    <n v="21"/>
    <x v="0"/>
  </r>
  <r>
    <s v="Project Hail Mary"/>
    <s v="Andy Weir"/>
    <x v="0"/>
    <s v="Sci-Fi / Speculative"/>
    <n v="2021"/>
    <n v="1"/>
    <s v="Audible Studios"/>
    <m/>
    <d v="2022-03-21T00:00:00"/>
    <x v="8"/>
    <x v="3"/>
    <d v="1900-01-02T08:09:00"/>
    <s v="Borrowed"/>
    <n v="16"/>
    <n v="100"/>
    <x v="0"/>
    <n v="21"/>
    <x v="0"/>
  </r>
  <r>
    <s v="Small Things Like These"/>
    <s v="Claire Keegan"/>
    <x v="6"/>
    <s v="Contemporary Short"/>
    <n v="2021"/>
    <m/>
    <s v="HighBridge / Recorded Books"/>
    <m/>
    <d v="2022-07-02T00:00:00"/>
    <x v="0"/>
    <x v="3"/>
    <d v="1900-01-02T17:09:00"/>
    <s v="Borrowed"/>
    <n v="2"/>
    <n v="100"/>
    <x v="0"/>
    <n v="21"/>
    <x v="0"/>
  </r>
  <r>
    <s v="Babel"/>
    <s v="R. F. Kuang"/>
    <x v="4"/>
    <s v="Fantasy"/>
    <n v="2022"/>
    <m/>
    <s v="HarperCollins"/>
    <m/>
    <d v="2023-01-21T00:00:00"/>
    <x v="7"/>
    <x v="1"/>
    <d v="1899-12-30T18:09:00"/>
    <s v="Borrowed"/>
    <n v="22"/>
    <n v="59"/>
    <x v="3"/>
    <n v="15"/>
    <x v="1"/>
  </r>
  <r>
    <s v="Icebreaker"/>
    <s v="Hannah Grace"/>
    <x v="0"/>
    <s v="Contemporary Romance"/>
    <n v="2022"/>
    <m/>
    <s v="Simon &amp; Schuster Audio"/>
    <m/>
    <d v="2024-02-08T00:00:00"/>
    <x v="6"/>
    <x v="2"/>
    <d v="1899-12-31T23:09:00"/>
    <s v="Borrowed"/>
    <n v="13"/>
    <n v="93"/>
    <x v="1"/>
    <n v="20"/>
    <x v="0"/>
  </r>
  <r>
    <s v="I'm Glad My Mom Died"/>
    <s v="Jennette McCurdy"/>
    <x v="7"/>
    <s v="Memoir"/>
    <n v="2022"/>
    <m/>
    <s v="Simon &amp; Schuster Audio"/>
    <m/>
    <d v="2022-08-13T00:00:00"/>
    <x v="11"/>
    <x v="3"/>
    <d v="1899-12-31T22:09:00"/>
    <s v="Borrowed"/>
    <n v="7"/>
    <n v="100"/>
    <x v="0"/>
    <n v="21"/>
    <x v="0"/>
  </r>
  <r>
    <s v="Never Lie"/>
    <s v="Freida McFadden"/>
    <x v="0"/>
    <s v="Thriller"/>
    <n v="2022"/>
    <m/>
    <s v="Hollywood Upstairs Press"/>
    <n v="9781666626063"/>
    <d v="2025-03-09T00:00:00"/>
    <x v="8"/>
    <x v="5"/>
    <d v="1900-01-01T17:09:00"/>
    <s v="Borrowed"/>
    <n v="7"/>
    <n v="30"/>
    <x v="3"/>
    <n v="10"/>
    <x v="0"/>
  </r>
  <r>
    <s v="The Seven Moons of Maali Almeida"/>
    <s v="Shehan Karunatilaka"/>
    <x v="6"/>
    <s v="Magical Realism"/>
    <n v="2022"/>
    <m/>
    <s v="Sort of Books"/>
    <n v="9781529162628"/>
    <d v="2022-06-02T00:00:00"/>
    <x v="2"/>
    <x v="3"/>
    <d v="1900-01-04T04:09:00"/>
    <s v="Borrowed"/>
    <n v="15"/>
    <n v="100"/>
    <x v="0"/>
    <n v="21"/>
    <x v="0"/>
  </r>
  <r>
    <s v="This is Vegan Propoganda"/>
    <s v="Ed Winters"/>
    <x v="3"/>
    <s v="Sociology"/>
    <n v="2022"/>
    <m/>
    <s v="Ebury Digital"/>
    <m/>
    <d v="2023-10-12T00:00:00"/>
    <x v="4"/>
    <x v="1"/>
    <d v="1900-01-04T12:09:00"/>
    <s v="Borrowed"/>
    <n v="8"/>
    <n v="82"/>
    <x v="1"/>
    <n v="19"/>
    <x v="1"/>
  </r>
  <r>
    <s v="An Unfortunate Christmas Murder"/>
    <s v="Hannah Hendy"/>
    <x v="0"/>
    <s v="Mystery"/>
    <n v="2023"/>
    <n v="2"/>
    <s v="SAGA Egmont"/>
    <n v="9788728500798"/>
    <d v="2024-01-10T00:00:00"/>
    <x v="7"/>
    <x v="2"/>
    <d v="1899-12-30T14:09:00"/>
    <s v="Borrowed"/>
    <n v="9"/>
    <n v="99"/>
    <x v="1"/>
    <n v="13"/>
    <x v="1"/>
  </r>
  <r>
    <s v="Fourth Wing"/>
    <s v="Rebecca Yarros"/>
    <x v="0"/>
    <s v="Romantic Fantasy  / Sci-Fi / Speculative"/>
    <n v="2023"/>
    <n v="1"/>
    <s v="Recorded Books"/>
    <m/>
    <d v="2024-03-08T00:00:00"/>
    <x v="8"/>
    <x v="2"/>
    <d v="1899-12-31T15:09:00"/>
    <s v="Borrowed"/>
    <n v="22"/>
    <n v="100"/>
    <x v="0"/>
    <n v="21"/>
    <x v="0"/>
  </r>
  <r>
    <s v="If I Survive You"/>
    <s v="Jonathan Escoffery"/>
    <x v="6"/>
    <s v="Family Saga"/>
    <n v="2023"/>
    <m/>
    <m/>
    <m/>
    <d v="2023-12-02T00:00:00"/>
    <x v="9"/>
    <x v="1"/>
    <d v="1900-01-01T00:09:00"/>
    <s v="Borrowed"/>
    <n v="8"/>
    <n v="100"/>
    <x v="0"/>
    <n v="21"/>
    <x v="0"/>
  </r>
  <r>
    <s v="Murtagh"/>
    <s v="Christopher Paolini"/>
    <x v="0"/>
    <s v="Fantasy"/>
    <n v="2023"/>
    <n v="5"/>
    <s v="Penguin Random House Children's UK"/>
    <n v="9780241651742"/>
    <d v="2024-06-12T00:00:00"/>
    <x v="2"/>
    <x v="2"/>
    <d v="1900-01-01T13:09:00"/>
    <s v="Borrowed"/>
    <n v="25"/>
    <n v="87"/>
    <x v="1"/>
    <n v="21"/>
    <x v="1"/>
  </r>
  <r>
    <s v="Not All Heroes Wear Capes"/>
    <s v="Jono Lancaster"/>
    <x v="3"/>
    <s v="Nonfiction / Memoir / Self-improvement"/>
    <n v="2023"/>
    <m/>
    <s v="Ebury Digital"/>
    <m/>
    <d v="2023-04-21T00:00:00"/>
    <x v="1"/>
    <x v="1"/>
    <d v="1900-01-01T18:09:00"/>
    <s v="Borrowed"/>
    <n v="5"/>
    <n v="56"/>
    <x v="3"/>
    <n v="14"/>
    <x v="1"/>
  </r>
  <r>
    <s v="Old God's Time"/>
    <s v="Sebastian Barry"/>
    <x v="6"/>
    <s v="Coming-of-Age"/>
    <n v="2023"/>
    <m/>
    <m/>
    <m/>
    <d v="2023-10-02T00:00:00"/>
    <x v="4"/>
    <x v="1"/>
    <d v="1900-01-01T20:09:00"/>
    <s v="Borrowed"/>
    <n v="9"/>
    <n v="100"/>
    <x v="0"/>
    <n v="21"/>
    <x v="0"/>
  </r>
  <r>
    <s v="Orbital"/>
    <s v="Samantha Harvey"/>
    <x v="6"/>
    <s v="Sci-Fi / Speculative-lite"/>
    <n v="2023"/>
    <m/>
    <s v="Grove Press (Atlantic)"/>
    <s v="978-0802159803"/>
    <d v="2024-09-01T00:00:00"/>
    <x v="10"/>
    <x v="2"/>
    <d v="1900-01-01T22:09:00"/>
    <s v="Borrowed"/>
    <n v="5"/>
    <n v="100"/>
    <x v="0"/>
    <n v="21"/>
    <x v="0"/>
  </r>
  <r>
    <s v="Prophet Song"/>
    <s v="Paul Lynch"/>
    <x v="6"/>
    <s v="Political Thriller"/>
    <n v="2023"/>
    <m/>
    <s v="John Murray"/>
    <s v="978-1038663436"/>
    <d v="2023-10-01T00:00:00"/>
    <x v="4"/>
    <x v="1"/>
    <d v="1900-01-02T09:09:00"/>
    <s v="Borrowed"/>
    <n v="9"/>
    <n v="89"/>
    <x v="1"/>
    <n v="20"/>
    <x v="0"/>
  </r>
  <r>
    <s v="The Chalice of the Gods"/>
    <s v="Rick Riordan"/>
    <x v="5"/>
    <s v="Fantasy / Mythology"/>
    <n v="2023"/>
    <n v="6"/>
    <s v="Penguin Random House Children's UK"/>
    <n v="9780241651124"/>
    <d v="2024-07-24T00:00:00"/>
    <x v="0"/>
    <x v="2"/>
    <d v="1900-01-03T05:09:00"/>
    <s v="Borrowed"/>
    <n v="7"/>
    <n v="100"/>
    <x v="0"/>
    <n v="21"/>
    <x v="1"/>
  </r>
  <r>
    <s v="The Woman in Me"/>
    <s v="Britney Spears"/>
    <x v="7"/>
    <s v="Memoir"/>
    <n v="2023"/>
    <m/>
    <s v="Simon &amp; Schuster Audio"/>
    <n v="9781668009048"/>
    <d v="2023-10-25T00:00:00"/>
    <x v="4"/>
    <x v="1"/>
    <d v="1900-01-04T10:09:00"/>
    <s v="Borrowed"/>
    <n v="6"/>
    <n v="100"/>
    <x v="0"/>
    <n v="21"/>
    <x v="0"/>
  </r>
  <r>
    <s v="Ward D"/>
    <s v="Freida McFadden"/>
    <x v="0"/>
    <s v="Thriller"/>
    <n v="2023"/>
    <m/>
    <s v="Hollywood Upstairs Press"/>
    <n v="9781666644227"/>
    <d v="2025-03-28T00:00:00"/>
    <x v="8"/>
    <x v="5"/>
    <d v="1900-01-04T15:09:00"/>
    <s v="Borrowed"/>
    <n v="7"/>
    <n v="99"/>
    <x v="1"/>
    <n v="21"/>
    <x v="0"/>
  </r>
  <r>
    <s v="A New Night"/>
    <s v="R.I. Polsgrove"/>
    <x v="0"/>
    <s v="Fantasy"/>
    <n v="2024"/>
    <n v="2"/>
    <s v="Audible Originals"/>
    <m/>
    <d v="2024-07-08T00:00:00"/>
    <x v="0"/>
    <x v="2"/>
    <d v="1899-12-30T09:09:00"/>
    <s v="Borrowed"/>
    <n v="9"/>
    <n v="100"/>
    <x v="0"/>
    <n v="21"/>
    <x v="0"/>
  </r>
  <r>
    <s v="Fi"/>
    <s v="Alexandra Fuller"/>
    <x v="7"/>
    <s v="Family &amp; relationships"/>
    <n v="2024"/>
    <m/>
    <s v="Random House Audiobooks"/>
    <m/>
    <d v="2025-02-24T00:00:00"/>
    <x v="6"/>
    <x v="5"/>
    <d v="1899-12-31T13:09:00"/>
    <s v="Borrowed"/>
    <n v="6"/>
    <n v="30"/>
    <x v="3"/>
    <n v="21"/>
    <x v="1"/>
  </r>
  <r>
    <s v="From Here to the Great Unknown"/>
    <s v="Lisa Marie Presley &amp; Riley Keough"/>
    <x v="7"/>
    <s v="Music Memoir"/>
    <n v="2024"/>
    <m/>
    <s v="Random House Audio"/>
    <n v="9780593733875"/>
    <d v="2024-12-21T00:00:00"/>
    <x v="9"/>
    <x v="2"/>
    <d v="1899-12-31T16:09:00"/>
    <s v="Borrowed"/>
    <n v="6"/>
    <n v="100"/>
    <x v="0"/>
    <n v="21"/>
    <x v="0"/>
  </r>
  <r>
    <s v="George Orwell’s 1984 (Adaptation)"/>
    <s v="George Orwell, Joe White"/>
    <x v="0"/>
    <s v="Dystopian"/>
    <n v="2024"/>
    <m/>
    <s v="Audible Originals"/>
    <m/>
    <d v="2024-10-21T00:00:00"/>
    <x v="4"/>
    <x v="2"/>
    <d v="1899-12-31T17:09:00"/>
    <s v="Borrowed"/>
    <n v="4"/>
    <n v="100"/>
    <x v="0"/>
    <n v="21"/>
    <x v="0"/>
  </r>
  <r>
    <s v="Giovanni’s Room"/>
    <s v="James Baldwin"/>
    <x v="0"/>
    <s v="LGBTQ Literary Fiction"/>
    <n v="2024"/>
    <m/>
    <s v="Penguin Audio"/>
    <m/>
    <d v="2024-09-22T00:00:00"/>
    <x v="10"/>
    <x v="2"/>
    <d v="1899-12-31T18:09:00"/>
    <s v="Borrowed"/>
    <n v="6"/>
    <n v="99"/>
    <x v="1"/>
    <n v="21"/>
    <x v="0"/>
  </r>
  <r>
    <s v="James"/>
    <s v="Percival Everett"/>
    <x v="4"/>
    <s v="Satire / Historical"/>
    <n v="2024"/>
    <m/>
    <s v="Mantle"/>
    <n v="9781035031252"/>
    <d v="2024-09-02T00:00:00"/>
    <x v="10"/>
    <x v="2"/>
    <d v="1900-01-01T04:09:00"/>
    <s v="Borrowed"/>
    <n v="8"/>
    <n v="100"/>
    <x v="0"/>
    <n v="21"/>
    <x v="0"/>
  </r>
  <r>
    <s v="Knife"/>
    <s v="Salman Rushdie"/>
    <x v="7"/>
    <s v="Autobiographical"/>
    <n v="2024"/>
    <m/>
    <s v="Random House Audio"/>
    <n v="9780593910696"/>
    <d v="2024-09-21T00:00:00"/>
    <x v="10"/>
    <x v="2"/>
    <d v="1900-01-01T06:09:00"/>
    <s v="Borrowed"/>
    <n v="7"/>
    <n v="100"/>
    <x v="0"/>
    <n v="21"/>
    <x v="0"/>
  </r>
  <r>
    <s v="Moonbound"/>
    <s v="Robin Sloan"/>
    <x v="0"/>
    <s v="Sci‑Fi Fantasy"/>
    <n v="2024"/>
    <m/>
    <s v="Audible Originals"/>
    <m/>
    <d v="2024-12-08T00:00:00"/>
    <x v="9"/>
    <x v="2"/>
    <d v="1900-01-01T11:09:00"/>
    <s v="Borrowed"/>
    <n v="11"/>
    <n v="100"/>
    <x v="0"/>
    <n v="21"/>
    <x v="0"/>
  </r>
  <r>
    <s v="Shōgun, Part One"/>
    <s v="James Clavell"/>
    <x v="0"/>
    <s v="Historical Epic"/>
    <n v="2024"/>
    <m/>
    <m/>
    <m/>
    <d v="2024-02-21T00:00:00"/>
    <x v="6"/>
    <x v="2"/>
    <d v="1900-01-02T14:09:00"/>
    <s v="Borrowed"/>
    <n v="25"/>
    <n v="100"/>
    <x v="0"/>
    <n v="21"/>
    <x v="0"/>
  </r>
  <r>
    <s v="Smoke"/>
    <s v="Michael Brissenden"/>
    <x v="0"/>
    <s v="Mystery / Conspiracy"/>
    <n v="2024"/>
    <m/>
    <s v="W. F. Howes Ltd"/>
    <n v="9781004170241"/>
    <d v="2024-07-12T00:00:00"/>
    <x v="0"/>
    <x v="2"/>
    <d v="1900-01-02T18:09:00"/>
    <s v="Borrowed"/>
    <n v="9"/>
    <n v="98"/>
    <x v="1"/>
    <n v="21"/>
    <x v="1"/>
  </r>
  <r>
    <s v="The Anxious Generation"/>
    <s v="Jonathan Haidt"/>
    <x v="3"/>
    <s v="Psychology"/>
    <n v="2024"/>
    <m/>
    <s v="Penguin Audio"/>
    <m/>
    <d v="2025-04-09T00:00:00"/>
    <x v="1"/>
    <x v="5"/>
    <d v="1900-01-03T00:09:00"/>
    <s v="Borrowed"/>
    <n v="11"/>
    <n v="100"/>
    <x v="0"/>
    <n v="21"/>
    <x v="0"/>
  </r>
  <r>
    <s v="The Boyfriend"/>
    <s v="Freida McFadden"/>
    <x v="0"/>
    <s v="Thriller"/>
    <n v="2024"/>
    <m/>
    <s v="Hollywood Upstairs Press"/>
    <n v="9781666665642"/>
    <d v="2025-03-01T00:00:00"/>
    <x v="8"/>
    <x v="5"/>
    <d v="1900-01-03T03:09:00"/>
    <s v="Borrowed"/>
    <n v="9"/>
    <n v="44"/>
    <x v="3"/>
    <n v="21"/>
    <x v="1"/>
  </r>
  <r>
    <s v="The Life of Dai"/>
    <s v="Dai Henwood, Jaquie Brown"/>
    <x v="7"/>
    <s v="Nonfiction / Memoir"/>
    <n v="2024"/>
    <m/>
    <s v="HarperCollins"/>
    <m/>
    <d v="2024-10-12T00:00:00"/>
    <x v="4"/>
    <x v="2"/>
    <d v="1900-01-03T15:09:00"/>
    <s v="Borrowed"/>
    <n v="8"/>
    <n v="22"/>
    <x v="2"/>
    <n v="12"/>
    <x v="1"/>
  </r>
  <r>
    <s v="The Master"/>
    <s v="Colm Tóibín"/>
    <x v="6"/>
    <s v="Biographical Novel"/>
    <n v="2024"/>
    <n v="1"/>
    <s v="Picador"/>
    <n v="9781035067152"/>
    <d v="2024-10-02T00:00:00"/>
    <x v="4"/>
    <x v="2"/>
    <d v="1900-01-03T19:09:00"/>
    <s v="Borrowed"/>
    <n v="13"/>
    <n v="100"/>
    <x v="0"/>
    <n v="21"/>
    <x v="0"/>
  </r>
  <r>
    <s v="The Murder Inn"/>
    <s v="James Patterson, Candice Fox"/>
    <x v="8"/>
    <s v="Suspense"/>
    <n v="2024"/>
    <m/>
    <s v="Penguin Random House Australia"/>
    <n v="9781761345722"/>
    <d v="2024-09-01T00:00:00"/>
    <x v="10"/>
    <x v="2"/>
    <d v="1900-01-03T20:09:00"/>
    <s v="Borrowed"/>
    <n v="7"/>
    <n v="100"/>
    <x v="0"/>
    <n v="20"/>
    <x v="1"/>
  </r>
  <r>
    <s v="The Parlour Wife"/>
    <s v="Foluso Agbaje"/>
    <x v="0"/>
    <s v="Contemporary Fiction"/>
    <n v="2024"/>
    <m/>
    <s v="One More Chapter"/>
    <m/>
    <d v="2024-12-08T00:00:00"/>
    <x v="9"/>
    <x v="2"/>
    <d v="1900-01-03T21:09:00"/>
    <s v="Borrowed"/>
    <n v="10"/>
    <n v="100"/>
    <x v="0"/>
    <n v="21"/>
    <x v="0"/>
  </r>
  <r>
    <s v="The Trading Game"/>
    <s v="Gary Stevenson"/>
    <x v="3"/>
    <s v="Memoir / Finance"/>
    <n v="2024"/>
    <m/>
    <m/>
    <m/>
    <d v="2024-11-21T00:00:00"/>
    <x v="5"/>
    <x v="2"/>
    <d v="1900-01-04T09:09:00"/>
    <s v="Borrowed"/>
    <n v="13"/>
    <n v="100"/>
    <x v="0"/>
    <n v="21"/>
    <x v="0"/>
  </r>
  <r>
    <s v="Western Lane"/>
    <s v="Chetna Maroo"/>
    <x v="9"/>
    <s v="Sports / Family"/>
    <n v="2024"/>
    <m/>
    <s v="Picador"/>
    <m/>
    <d v="2024-02-02T00:00:00"/>
    <x v="6"/>
    <x v="2"/>
    <d v="1900-01-04T16:09:00"/>
    <s v="Borrowed"/>
    <n v="5"/>
    <n v="100"/>
    <x v="0"/>
    <n v="21"/>
    <x v="0"/>
  </r>
  <r>
    <s v="You're Embarrassing Yourself"/>
    <s v="Desiree Akhavan"/>
    <x v="7"/>
    <s v="LGBTQ Memoir"/>
    <n v="2024"/>
    <m/>
    <s v="Random House Audio"/>
    <m/>
    <d v="2024-08-21T00:00:00"/>
    <x v="11"/>
    <x v="2"/>
    <d v="1900-01-04T19:09:00"/>
    <s v="Borrowed"/>
    <n v="6"/>
    <n v="99"/>
    <x v="1"/>
    <n v="21"/>
    <x v="0"/>
  </r>
  <r>
    <s v="Abundance"/>
    <s v="Ezra Klein &amp; Derek Thompson"/>
    <x v="3"/>
    <s v="Economics / Self-help"/>
    <n v="2025"/>
    <m/>
    <s v="Simon &amp; Schuster Audio"/>
    <m/>
    <d v="2025-03-09T00:00:00"/>
    <x v="8"/>
    <x v="5"/>
    <d v="1899-12-30T11:09:00"/>
    <s v="Borrowed"/>
    <n v="7"/>
    <n v="100"/>
    <x v="0"/>
    <n v="21"/>
    <x v="0"/>
  </r>
  <r>
    <s v="Atmosphere"/>
    <s v="Taylor Jenkins Reid"/>
    <x v="0"/>
    <s v="Contemporary Fiction"/>
    <n v="2025"/>
    <m/>
    <s v="Random House Audio"/>
    <m/>
    <d v="2025-06-13T00:00:00"/>
    <x v="2"/>
    <x v="5"/>
    <d v="1899-12-30T15:09:00"/>
    <s v="Borrowed"/>
    <n v="10"/>
    <n v="100"/>
    <x v="0"/>
    <n v="21"/>
    <x v="0"/>
  </r>
  <r>
    <s v="Big Dumb Eyes"/>
    <s v="Nate Bargatze"/>
    <x v="3"/>
    <s v="Humor / Memoir"/>
    <n v="2025"/>
    <m/>
    <s v="Grand Central Publishing Audio"/>
    <m/>
    <d v="2025-05-07T00:00:00"/>
    <x v="3"/>
    <x v="5"/>
    <d v="1899-12-30T20:09:00"/>
    <s v="Borrowed"/>
    <n v="7"/>
    <n v="100"/>
    <x v="0"/>
    <n v="21"/>
    <x v="0"/>
  </r>
  <r>
    <s v="Equality"/>
    <s v="Thomas Piketty, Michael Sandel"/>
    <x v="3"/>
    <s v="Philosophy"/>
    <n v="2025"/>
    <m/>
    <s v="Blackstone Publishing"/>
    <m/>
    <d v="2025-04-21T00:00:00"/>
    <x v="1"/>
    <x v="5"/>
    <d v="1899-12-31T08:09:00"/>
    <s v="Borrowed"/>
    <n v="3"/>
    <n v="100"/>
    <x v="0"/>
    <n v="20"/>
    <x v="1"/>
  </r>
  <r>
    <s v="Forest Euphoria"/>
    <s v="Patricia Ononiwu Kaishan"/>
    <x v="3"/>
    <s v="Nonfiction / Memoir / Nature"/>
    <n v="2025"/>
    <m/>
    <s v="Spiegel &amp; Grau by Spotify Audiobooks"/>
    <m/>
    <d v="2025-05-12T00:00:00"/>
    <x v="3"/>
    <x v="5"/>
    <d v="1899-12-31T14:09:00"/>
    <s v="Borrowed"/>
    <n v="6"/>
    <n v="99"/>
    <x v="1"/>
    <n v="21"/>
    <x v="1"/>
  </r>
  <r>
    <s v="How Countries Go Broke"/>
    <s v="Ray Dalio"/>
    <x v="3"/>
    <s v="Economics"/>
    <n v="2025"/>
    <m/>
    <s v="Simon &amp; Schuster Audio"/>
    <m/>
    <d v="2025-06-09T00:00:00"/>
    <x v="2"/>
    <x v="5"/>
    <d v="1899-12-31T20:09:00"/>
    <s v="Borrowed"/>
    <n v="10"/>
    <n v="100"/>
    <x v="0"/>
    <n v="21"/>
    <x v="0"/>
  </r>
  <r>
    <s v="How Feminist Economics Can Change Our World"/>
    <s v="Emma Holten"/>
    <x v="3"/>
    <s v="Economics / Feminism"/>
    <n v="2025"/>
    <m/>
    <s v="Virgin Digital"/>
    <m/>
    <d v="2025-01-21T00:00:00"/>
    <x v="7"/>
    <x v="5"/>
    <d v="1899-12-31T21:09:00"/>
    <s v="Borrowed"/>
    <n v="6"/>
    <n v="100"/>
    <x v="0"/>
    <n v="21"/>
    <x v="1"/>
  </r>
  <r>
    <s v="Never Flinch"/>
    <s v="Stephen King"/>
    <x v="0"/>
    <s v="Horror"/>
    <n v="2025"/>
    <m/>
    <s v="Simon &amp; Schuster Audio"/>
    <m/>
    <d v="2025-05-09T00:00:00"/>
    <x v="3"/>
    <x v="5"/>
    <d v="1900-01-01T16:09:00"/>
    <s v="Borrowed"/>
    <n v="15"/>
    <n v="20"/>
    <x v="2"/>
    <n v="21"/>
    <x v="0"/>
  </r>
  <r>
    <s v="Onyx Storm"/>
    <s v="Rebecca Yarros"/>
    <x v="0"/>
    <s v="Romantic Fantasy"/>
    <n v="2025"/>
    <n v="3"/>
    <s v="Recorded Books"/>
    <m/>
    <d v="2025-04-13T00:00:00"/>
    <x v="1"/>
    <x v="5"/>
    <d v="1900-01-01T21:09:00"/>
    <s v="Borrowed"/>
    <n v="24"/>
    <n v="100"/>
    <x v="0"/>
    <n v="21"/>
    <x v="0"/>
  </r>
  <r>
    <s v="Original Sin"/>
    <s v="Jake Tapper &amp; Alex Thompson"/>
    <x v="3"/>
    <s v="Political / History"/>
    <n v="2025"/>
    <m/>
    <s v="Penguin Audio"/>
    <m/>
    <d v="2025-06-09T00:00:00"/>
    <x v="2"/>
    <x v="5"/>
    <d v="1900-01-01T23:09:00"/>
    <s v="Borrowed"/>
    <n v="9"/>
    <n v="88"/>
    <x v="1"/>
    <n v="19"/>
    <x v="0"/>
  </r>
  <r>
    <s v="Pomona Afton Can So Solve a Murder"/>
    <s v="Bellamy Rose"/>
    <x v="0"/>
    <s v="Mystery"/>
    <n v="2025"/>
    <m/>
    <s v="Simon &amp; Schuster Audio"/>
    <m/>
    <d v="2025-06-24T00:00:00"/>
    <x v="2"/>
    <x v="5"/>
    <d v="1900-01-02T02:09:00"/>
    <s v="Borrowed"/>
    <n v="10"/>
    <n v="99"/>
    <x v="1"/>
    <n v="21"/>
    <x v="1"/>
  </r>
  <r>
    <s v="Question 7"/>
    <s v="Richard Flanagan"/>
    <x v="7"/>
    <s v="Historical / Family"/>
    <n v="2025"/>
    <m/>
    <s v="Penguin Audio"/>
    <m/>
    <d v="2025-03-07T00:00:00"/>
    <x v="8"/>
    <x v="5"/>
    <d v="1900-01-02T10:09:00"/>
    <s v="Borrowed"/>
    <n v="8"/>
    <n v="100"/>
    <x v="0"/>
    <n v="21"/>
    <x v="0"/>
  </r>
  <r>
    <s v="Sunrise on the Reaping"/>
    <s v="Suzanne Collins"/>
    <x v="0"/>
    <s v="Dystopian"/>
    <n v="2025"/>
    <n v="5"/>
    <s v="Scholastic Audio Books"/>
    <m/>
    <d v="2025-04-13T00:00:00"/>
    <x v="1"/>
    <x v="5"/>
    <d v="1900-01-02T20:09:00"/>
    <s v="Borrowed"/>
    <n v="13"/>
    <n v="100"/>
    <x v="0"/>
    <n v="21"/>
    <x v="0"/>
  </r>
  <r>
    <s v="The Impossible Thing"/>
    <s v="Belinda Bauer"/>
    <x v="0"/>
    <s v="Mystery"/>
    <n v="2025"/>
    <m/>
    <s v="Transworld Digital"/>
    <m/>
    <d v="2025-05-17T00:00:00"/>
    <x v="3"/>
    <x v="5"/>
    <d v="1900-01-03T11:09:00"/>
    <s v="Borrowed"/>
    <n v="8"/>
    <n v="99"/>
    <x v="1"/>
    <n v="20"/>
    <x v="1"/>
  </r>
  <r>
    <s v="The Let Them Theory"/>
    <s v="Mel Robbins"/>
    <x v="3"/>
    <s v="Self‑help"/>
    <n v="2025"/>
    <m/>
    <s v="Audible Studios"/>
    <m/>
    <d v="2025-06-07T00:00:00"/>
    <x v="2"/>
    <x v="5"/>
    <d v="1900-01-03T14:09:00"/>
    <s v="Borrowed"/>
    <n v="11"/>
    <n v="100"/>
    <x v="0"/>
    <n v="21"/>
    <x v="0"/>
  </r>
  <r>
    <s v="The Remarkable Truths of Alfie Bains"/>
    <s v="Sarah Clutton"/>
    <x v="0"/>
    <s v="Mystery /  Family &amp; relationships"/>
    <n v="2025"/>
    <m/>
    <s v="W. F. Howes Ltd"/>
    <m/>
    <d v="2025-05-01T00:00:00"/>
    <x v="3"/>
    <x v="5"/>
    <d v="1900-01-03T23:09:00"/>
    <s v="Borrowed"/>
    <n v="9"/>
    <n v="87"/>
    <x v="1"/>
    <n v="19"/>
    <x v="1"/>
  </r>
  <r>
    <s v="Unbury the Dead"/>
    <s v="Fiona Hardy"/>
    <x v="0"/>
    <s v="Mystery"/>
    <n v="2025"/>
    <m/>
    <s v="W. F. Howes Ltd"/>
    <m/>
    <d v="2025-06-02T00:00:00"/>
    <x v="2"/>
    <x v="5"/>
    <d v="1900-01-04T14:09:00"/>
    <s v="Borrowed"/>
    <n v="9"/>
    <n v="98"/>
    <x v="1"/>
    <n v="10"/>
    <x v="1"/>
  </r>
  <r>
    <s v="House of Flame and Shadow"/>
    <s v="Sarah J. Maas"/>
    <x v="0"/>
    <s v="Fantasy"/>
    <m/>
    <n v="2"/>
    <m/>
    <m/>
    <d v="2024-01-21T00:00:00"/>
    <x v="7"/>
    <x v="2"/>
    <d v="1899-12-31T19:09:00"/>
    <s v="Borrowed"/>
    <n v="30"/>
    <n v="100"/>
    <x v="0"/>
    <n v="21"/>
    <x v="0"/>
  </r>
  <r>
    <s v="Midnight’s Children"/>
    <s v="Salman Rushdie"/>
    <x v="6"/>
    <s v="Magical Realism"/>
    <m/>
    <m/>
    <s v="Jonathan Cape"/>
    <n v="9780312424986"/>
    <d v="2020-01-01T00:00:00"/>
    <x v="7"/>
    <x v="0"/>
    <d v="1900-01-01T09:09:00"/>
    <s v="Borrowed"/>
    <n v="30"/>
    <n v="100"/>
    <x v="0"/>
    <n v="2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6DB46-AF4D-6F4B-8D49-B340AAC5157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Year">
  <location ref="A1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axis="axisRow" numFmtId="1" showAll="0">
      <items count="7">
        <item x="0"/>
        <item x="4"/>
        <item x="3"/>
        <item x="1"/>
        <item x="2"/>
        <item x="5"/>
        <item t="default"/>
      </items>
    </pivotField>
    <pivotField numFmtId="164"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Books borrowed" fld="12" subtotal="count" baseField="0" baseItem="0"/>
  </dataFields>
  <formats count="1">
    <format dxfId="5">
      <pivotArea dataOnly="0" labelOnly="1" outline="0" axis="axisValues" fieldPosition="0"/>
    </format>
  </format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87763-0C92-B84E-86E6-271018611D9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re">
  <location ref="A1:B10" firstHeaderRow="1" firstDataRow="1" firstDataCol="1"/>
  <pivotFields count="18">
    <pivotField showAll="0"/>
    <pivotField showAll="0"/>
    <pivotField axis="axisRow" showAll="0">
      <items count="16">
        <item m="1" x="13"/>
        <item x="2"/>
        <item h="1" x="9"/>
        <item x="0"/>
        <item m="1" x="14"/>
        <item x="4"/>
        <item x="5"/>
        <item x="6"/>
        <item x="3"/>
        <item m="1" x="12"/>
        <item m="1" x="11"/>
        <item m="1" x="10"/>
        <item h="1" x="8"/>
        <item x="1"/>
        <item x="7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" showAll="0"/>
    <pivotField numFmtId="1" showAll="0"/>
    <pivotField numFmtId="164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 v="1"/>
    </i>
    <i>
      <x v="3"/>
    </i>
    <i>
      <x v="5"/>
    </i>
    <i>
      <x v="6"/>
    </i>
    <i>
      <x v="7"/>
    </i>
    <i>
      <x v="8"/>
    </i>
    <i>
      <x v="13"/>
    </i>
    <i>
      <x v="14"/>
    </i>
    <i t="grand">
      <x/>
    </i>
  </rowItems>
  <colItems count="1">
    <i/>
  </colItems>
  <dataFields count="1">
    <dataField name="Total" fld="14" subtotal="count" baseField="0" baseItem="0" numFmtId="2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CBA5F-F146-B748-933D-E1FB1774B24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6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1" showAll="0"/>
    <pivotField numFmtId="164" showAll="0"/>
    <pivotField showAll="0"/>
    <pivotField showAll="0"/>
    <pivotField showAll="0"/>
    <pivotField axis="axisRow" showAll="0" sortType="ascending">
      <items count="12">
        <item m="1" x="9"/>
        <item m="1" x="6"/>
        <item x="0"/>
        <item m="1" x="4"/>
        <item m="1" x="8"/>
        <item m="1" x="5"/>
        <item m="1" x="10"/>
        <item m="1" x="7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5">
    <i>
      <x v="9"/>
    </i>
    <i>
      <x v="10"/>
    </i>
    <i>
      <x v="8"/>
    </i>
    <i>
      <x v="2"/>
    </i>
    <i t="grand">
      <x/>
    </i>
  </rowItems>
  <colItems count="1">
    <i/>
  </colItems>
  <dataFields count="1">
    <dataField name="Numbers of Titles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F5997-B432-E642-BDDE-1FCF14020AB1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">
  <location ref="A1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numFmtId="1" showAll="0" sortType="ascending">
      <items count="25">
        <item m="1" x="21"/>
        <item m="1" x="18"/>
        <item m="1" x="20"/>
        <item m="1" x="13"/>
        <item m="1" x="15"/>
        <item m="1" x="14"/>
        <item m="1" x="12"/>
        <item m="1" x="19"/>
        <item m="1" x="23"/>
        <item m="1" x="16"/>
        <item m="1" x="17"/>
        <item m="1" x="22"/>
        <item x="7"/>
        <item x="6"/>
        <item x="8"/>
        <item x="1"/>
        <item x="3"/>
        <item x="2"/>
        <item x="0"/>
        <item x="11"/>
        <item x="10"/>
        <item x="4"/>
        <item x="5"/>
        <item x="9"/>
        <item t="default"/>
      </items>
    </pivotField>
    <pivotField numFmtId="1" showAll="0"/>
    <pivotField numFmtId="164"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Books borrowed" fld="12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B146A-9769-5B4D-AD72-2C3EFE6B0364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" showAll="0"/>
    <pivotField numFmtId="164"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Average of Completion (%)" fld="14" subtotal="average" baseField="0" baseItem="0"/>
  </dataFields>
  <formats count="1">
    <format dxfId="4">
      <pivotArea collapsedLevelsAreSubtotals="1" fieldPosition="0">
        <references count="1">
          <reference field="17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623D0-4085-7547-986D-58D4D1A9DBFC}" name="Table1" displayName="Table1" ref="A1:R129" totalsRowShown="0">
  <autoFilter ref="A1:R129" xr:uid="{D48623D0-4085-7547-986D-58D4D1A9DBFC}"/>
  <tableColumns count="18">
    <tableColumn id="1" xr3:uid="{F98EB2B3-2422-C047-85D2-55388B2B5B7A}" name="Title"/>
    <tableColumn id="2" xr3:uid="{23D764BC-1D2C-5947-9A46-C94E8B6C7EE8}" name="Author"/>
    <tableColumn id="3" xr3:uid="{3F008DCF-F7E8-A546-ACF9-1078E588B3F9}" name="Genre"/>
    <tableColumn id="4" xr3:uid="{012D4C3F-A323-3D40-8CBC-DF882D882E5E}" name="Sub-genre"/>
    <tableColumn id="5" xr3:uid="{CCF41146-3E3E-E149-B258-921185D8BD81}" name="Year of release"/>
    <tableColumn id="6" xr3:uid="{83E41977-80A0-B14A-8129-79C436D64DA5}" name="# in series"/>
    <tableColumn id="7" xr3:uid="{E8D55514-9D20-4C42-B422-5E06DAD742B5}" name="Publisher"/>
    <tableColumn id="8" xr3:uid="{1A14215E-677C-A149-B770-D97FFD29C5DA}" name="ISBN"/>
    <tableColumn id="9" xr3:uid="{5B85C4A1-4B84-3A4C-B23B-3D460D40020D}" name="Issue date" dataDxfId="9"/>
    <tableColumn id="19" xr3:uid="{892398A9-9278-AA48-B04D-03D2ACEC0C4E}" name="Month" dataDxfId="8">
      <calculatedColumnFormula>TEXT(I4,"mmmm")</calculatedColumnFormula>
    </tableColumn>
    <tableColumn id="16" xr3:uid="{5589E71C-8384-BD46-8D15-45E002C955F9}" name="Year" dataDxfId="7">
      <calculatedColumnFormula>YEAR(I2)</calculatedColumnFormula>
    </tableColumn>
    <tableColumn id="10" xr3:uid="{B713C4AA-BA4F-DA46-BBE2-D51B515EE329}" name="Time borrowed" dataDxfId="6"/>
    <tableColumn id="11" xr3:uid="{4412DC09-7969-AC45-BEB2-85FD74AEF38D}" name="Activity"/>
    <tableColumn id="12" xr3:uid="{78B53B4D-3BAA-D941-BF44-C6527C2DA226}" name="Duration (hours)"/>
    <tableColumn id="13" xr3:uid="{E038B7D2-6DB6-8748-939A-28EAC97AECF2}" name="Reading status (%)"/>
    <tableColumn id="17" xr3:uid="{03221BE9-CFDD-6D4E-8A6A-950A58311AD5}" name="Group" dataDxfId="2">
      <calculatedColumnFormula>IF(O2=100,"Fully Finished",IF(O2&gt;=75,"Nearly There (75–99%)",IF(O2&gt;=25,"Got Going (25–74%)","Barely Started (0–24%)")))</calculatedColumnFormula>
    </tableColumn>
    <tableColumn id="14" xr3:uid="{EBEB33E8-4AFE-6843-9ACA-DD09FFC16C92}" name="Borrow duration (days)"/>
    <tableColumn id="15" xr3:uid="{8E7C47CC-F89B-6A44-8F4A-A508796D7952}" name="Libr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75E2C-257E-3F4D-A955-298FDDB7C892}" name="Table3" displayName="Table3" ref="A12:D21" totalsRowShown="0">
  <autoFilter ref="A12:D21" xr:uid="{60375E2C-257E-3F4D-A955-298FDDB7C892}"/>
  <tableColumns count="4">
    <tableColumn id="1" xr3:uid="{7E168800-DA75-5A4C-AF27-BE918FB99014}" name="Genre"/>
    <tableColumn id="2" xr3:uid="{66B8A58C-EE4B-704A-8E51-55A81990C53C}" name="Total"/>
    <tableColumn id="3" xr3:uid="{FEDBC2E7-FC6D-2149-9016-C0DF2C47C6B4}" name="Completed"/>
    <tableColumn id="4" xr3:uid="{25D94EFF-F678-9B41-912B-33F74B071541}" name="Completion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4C5A-0F51-49BE-B185-9810D103AC7D}">
  <dimension ref="A1:O138"/>
  <sheetViews>
    <sheetView zoomScaleNormal="100" workbookViewId="0">
      <selection activeCell="E1" sqref="E1:F1048576"/>
    </sheetView>
  </sheetViews>
  <sheetFormatPr baseColWidth="10" defaultColWidth="12.6640625" defaultRowHeight="15" x14ac:dyDescent="0.2"/>
  <cols>
    <col min="5" max="6" width="12.6640625" style="3"/>
    <col min="8" max="8" width="12.6640625" style="3"/>
    <col min="9" max="9" width="12.6640625" style="1"/>
    <col min="10" max="10" width="12.6640625" style="2"/>
    <col min="12" max="14" width="12.6640625" style="3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  <c r="H1" t="s">
        <v>7</v>
      </c>
      <c r="I1" s="1" t="s">
        <v>8</v>
      </c>
      <c r="J1" s="2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</row>
    <row r="2" spans="1:15" x14ac:dyDescent="0.2">
      <c r="A2" t="s">
        <v>247</v>
      </c>
      <c r="B2" t="s">
        <v>248</v>
      </c>
      <c r="C2" t="s">
        <v>17</v>
      </c>
      <c r="D2" t="s">
        <v>26</v>
      </c>
      <c r="E2" s="3">
        <v>1990</v>
      </c>
      <c r="F2" s="3">
        <v>1</v>
      </c>
      <c r="G2" t="s">
        <v>19</v>
      </c>
      <c r="H2"/>
      <c r="I2" s="1">
        <v>44025</v>
      </c>
      <c r="J2" s="2">
        <v>4.2562499999999996</v>
      </c>
      <c r="K2" t="s">
        <v>20</v>
      </c>
      <c r="L2" s="3">
        <v>19</v>
      </c>
      <c r="M2" s="3">
        <v>100</v>
      </c>
      <c r="N2" s="3">
        <v>21</v>
      </c>
      <c r="O2" t="s">
        <v>21</v>
      </c>
    </row>
    <row r="3" spans="1:15" x14ac:dyDescent="0.2">
      <c r="A3" t="s">
        <v>77</v>
      </c>
      <c r="B3" t="s">
        <v>78</v>
      </c>
      <c r="C3" t="s">
        <v>79</v>
      </c>
      <c r="D3" t="s">
        <v>80</v>
      </c>
      <c r="E3" s="3">
        <v>2004</v>
      </c>
      <c r="G3" t="s">
        <v>81</v>
      </c>
      <c r="H3"/>
      <c r="I3" s="1">
        <v>43928</v>
      </c>
      <c r="J3" s="2">
        <v>1.08958333333333</v>
      </c>
      <c r="K3" t="s">
        <v>20</v>
      </c>
      <c r="L3" s="3">
        <v>22</v>
      </c>
      <c r="M3" s="3">
        <v>100</v>
      </c>
      <c r="N3" s="3">
        <v>21</v>
      </c>
      <c r="O3" t="s">
        <v>21</v>
      </c>
    </row>
    <row r="4" spans="1:15" x14ac:dyDescent="0.2">
      <c r="A4" t="s">
        <v>240</v>
      </c>
      <c r="B4" t="s">
        <v>241</v>
      </c>
      <c r="C4" t="s">
        <v>17</v>
      </c>
      <c r="D4" t="s">
        <v>323</v>
      </c>
      <c r="E4" s="3">
        <v>2004</v>
      </c>
      <c r="F4" s="3">
        <v>1</v>
      </c>
      <c r="G4" t="s">
        <v>57</v>
      </c>
      <c r="H4">
        <v>9780060817916</v>
      </c>
      <c r="I4" s="1">
        <v>45091</v>
      </c>
      <c r="J4" s="2">
        <v>4.0479166666666702</v>
      </c>
      <c r="K4" t="s">
        <v>20</v>
      </c>
      <c r="L4" s="3">
        <v>3</v>
      </c>
      <c r="M4" s="3">
        <v>100</v>
      </c>
      <c r="N4" s="3">
        <v>21</v>
      </c>
      <c r="O4" t="s">
        <v>34</v>
      </c>
    </row>
    <row r="5" spans="1:15" x14ac:dyDescent="0.2">
      <c r="B5" t="s">
        <v>305</v>
      </c>
      <c r="C5" t="s">
        <v>17</v>
      </c>
      <c r="D5" t="s">
        <v>318</v>
      </c>
      <c r="E5" s="3">
        <v>2005</v>
      </c>
      <c r="F5" s="3">
        <v>1</v>
      </c>
      <c r="G5" t="s">
        <v>71</v>
      </c>
      <c r="H5">
        <v>9780307280916</v>
      </c>
      <c r="I5" s="1">
        <v>45077</v>
      </c>
      <c r="J5" s="2">
        <v>5.5479166666666702</v>
      </c>
      <c r="K5" t="s">
        <v>20</v>
      </c>
      <c r="L5" s="3">
        <v>13</v>
      </c>
      <c r="M5" s="3">
        <v>98</v>
      </c>
      <c r="N5" s="3">
        <v>20</v>
      </c>
      <c r="O5" t="s">
        <v>34</v>
      </c>
    </row>
    <row r="6" spans="1:15" x14ac:dyDescent="0.2">
      <c r="A6" t="s">
        <v>189</v>
      </c>
      <c r="B6" t="s">
        <v>190</v>
      </c>
      <c r="C6" t="s">
        <v>89</v>
      </c>
      <c r="D6" t="s">
        <v>317</v>
      </c>
      <c r="E6" s="3">
        <v>2006</v>
      </c>
      <c r="G6" t="s">
        <v>97</v>
      </c>
      <c r="H6">
        <v>9781483088907</v>
      </c>
      <c r="I6" s="1">
        <v>45200</v>
      </c>
      <c r="J6" s="2">
        <v>3.0062500000000001</v>
      </c>
      <c r="K6" t="s">
        <v>20</v>
      </c>
      <c r="L6" s="3">
        <v>8</v>
      </c>
      <c r="M6" s="3">
        <v>98</v>
      </c>
      <c r="N6" s="3">
        <v>12</v>
      </c>
      <c r="O6" t="s">
        <v>34</v>
      </c>
    </row>
    <row r="7" spans="1:15" x14ac:dyDescent="0.2">
      <c r="A7" t="s">
        <v>213</v>
      </c>
      <c r="B7" t="s">
        <v>190</v>
      </c>
      <c r="C7" t="s">
        <v>89</v>
      </c>
      <c r="D7" t="s">
        <v>317</v>
      </c>
      <c r="E7" s="3">
        <v>2006</v>
      </c>
      <c r="G7" t="s">
        <v>214</v>
      </c>
      <c r="H7">
        <v>9789629544591</v>
      </c>
      <c r="I7" s="1">
        <v>45415</v>
      </c>
      <c r="J7" s="2">
        <v>3.5479166666666702</v>
      </c>
      <c r="K7" t="s">
        <v>20</v>
      </c>
      <c r="L7" s="3">
        <v>13</v>
      </c>
      <c r="M7" s="3">
        <v>100</v>
      </c>
      <c r="N7" s="3">
        <v>20</v>
      </c>
      <c r="O7" t="s">
        <v>34</v>
      </c>
    </row>
    <row r="8" spans="1:15" x14ac:dyDescent="0.2">
      <c r="A8" t="s">
        <v>277</v>
      </c>
      <c r="B8" t="s">
        <v>278</v>
      </c>
      <c r="C8" t="s">
        <v>17</v>
      </c>
      <c r="D8" t="s">
        <v>29</v>
      </c>
      <c r="E8" s="3">
        <v>2006</v>
      </c>
      <c r="G8" t="s">
        <v>279</v>
      </c>
      <c r="H8">
        <v>9781607472469</v>
      </c>
      <c r="I8" s="1">
        <v>45451</v>
      </c>
      <c r="J8" s="2">
        <v>4.9229166666666702</v>
      </c>
      <c r="K8" t="s">
        <v>20</v>
      </c>
      <c r="L8" s="3">
        <v>3</v>
      </c>
      <c r="M8" s="3">
        <v>77</v>
      </c>
      <c r="N8" s="3">
        <v>21</v>
      </c>
      <c r="O8" t="s">
        <v>34</v>
      </c>
    </row>
    <row r="9" spans="1:15" x14ac:dyDescent="0.2">
      <c r="A9" t="s">
        <v>233</v>
      </c>
      <c r="B9" t="s">
        <v>234</v>
      </c>
      <c r="C9" t="s">
        <v>37</v>
      </c>
      <c r="D9" t="s">
        <v>339</v>
      </c>
      <c r="E9" s="3">
        <v>2007</v>
      </c>
      <c r="G9" t="s">
        <v>227</v>
      </c>
      <c r="H9"/>
      <c r="I9" s="1">
        <v>44141</v>
      </c>
      <c r="J9" s="2">
        <v>3.8812500000000001</v>
      </c>
      <c r="K9" t="s">
        <v>20</v>
      </c>
      <c r="L9" s="3">
        <v>10</v>
      </c>
      <c r="M9" s="3">
        <v>100</v>
      </c>
      <c r="N9" s="3">
        <v>21</v>
      </c>
      <c r="O9" t="s">
        <v>21</v>
      </c>
    </row>
    <row r="10" spans="1:15" x14ac:dyDescent="0.2">
      <c r="A10" t="s">
        <v>39</v>
      </c>
      <c r="B10" t="s">
        <v>32</v>
      </c>
      <c r="C10" t="s">
        <v>17</v>
      </c>
      <c r="D10" t="s">
        <v>316</v>
      </c>
      <c r="E10" s="3">
        <v>2008</v>
      </c>
      <c r="F10" s="3">
        <v>1</v>
      </c>
      <c r="G10" t="s">
        <v>40</v>
      </c>
      <c r="H10">
        <v>9781908377098</v>
      </c>
      <c r="I10" s="1">
        <v>45346</v>
      </c>
      <c r="J10" s="2">
        <v>0.50624999999999998</v>
      </c>
      <c r="K10" t="s">
        <v>20</v>
      </c>
      <c r="L10" s="3">
        <v>3</v>
      </c>
      <c r="M10" s="3">
        <v>99</v>
      </c>
      <c r="N10" s="3">
        <v>20</v>
      </c>
      <c r="O10" t="s">
        <v>34</v>
      </c>
    </row>
    <row r="11" spans="1:15" x14ac:dyDescent="0.2">
      <c r="A11" t="s">
        <v>41</v>
      </c>
      <c r="B11" t="s">
        <v>32</v>
      </c>
      <c r="C11" t="s">
        <v>17</v>
      </c>
      <c r="D11" t="s">
        <v>316</v>
      </c>
      <c r="E11" s="3">
        <v>2008</v>
      </c>
      <c r="F11" s="3">
        <v>2</v>
      </c>
      <c r="G11" t="s">
        <v>40</v>
      </c>
      <c r="H11">
        <v>9781908377104</v>
      </c>
      <c r="I11" s="1">
        <v>45346</v>
      </c>
      <c r="J11" s="2">
        <v>0.54791666666666705</v>
      </c>
      <c r="K11" t="s">
        <v>20</v>
      </c>
      <c r="L11" s="3">
        <v>3</v>
      </c>
      <c r="M11" s="3">
        <v>99</v>
      </c>
      <c r="N11" s="3">
        <v>21</v>
      </c>
      <c r="O11" t="s">
        <v>34</v>
      </c>
    </row>
    <row r="12" spans="1:15" x14ac:dyDescent="0.2">
      <c r="B12" t="s">
        <v>70</v>
      </c>
      <c r="C12" t="s">
        <v>17</v>
      </c>
      <c r="D12" t="s">
        <v>29</v>
      </c>
      <c r="E12" s="3">
        <v>2008</v>
      </c>
      <c r="F12" s="3">
        <v>3</v>
      </c>
      <c r="G12" t="s">
        <v>71</v>
      </c>
      <c r="H12">
        <v>9780739368053</v>
      </c>
      <c r="I12" s="1">
        <v>45139</v>
      </c>
      <c r="J12" s="2">
        <v>0.96458333333333302</v>
      </c>
      <c r="K12" t="s">
        <v>20</v>
      </c>
      <c r="L12" s="3">
        <v>30</v>
      </c>
      <c r="M12" s="3">
        <v>97</v>
      </c>
      <c r="N12" s="3">
        <v>20</v>
      </c>
      <c r="O12" t="s">
        <v>34</v>
      </c>
    </row>
    <row r="13" spans="1:15" x14ac:dyDescent="0.2">
      <c r="A13" t="s">
        <v>69</v>
      </c>
      <c r="B13" t="s">
        <v>70</v>
      </c>
      <c r="C13" t="s">
        <v>17</v>
      </c>
      <c r="D13" t="s">
        <v>29</v>
      </c>
      <c r="E13" s="3">
        <v>2008</v>
      </c>
      <c r="F13" s="3">
        <v>3</v>
      </c>
      <c r="G13" t="s">
        <v>71</v>
      </c>
      <c r="H13">
        <v>9780739368053</v>
      </c>
      <c r="I13" s="1">
        <v>45087</v>
      </c>
      <c r="J13" s="2">
        <v>1.0062500000000001</v>
      </c>
      <c r="K13" t="s">
        <v>20</v>
      </c>
      <c r="L13" s="3">
        <v>30</v>
      </c>
      <c r="M13" s="3">
        <v>100</v>
      </c>
      <c r="N13" s="3">
        <v>21</v>
      </c>
      <c r="O13" t="s">
        <v>34</v>
      </c>
    </row>
    <row r="14" spans="1:15" x14ac:dyDescent="0.2">
      <c r="A14" t="s">
        <v>252</v>
      </c>
      <c r="B14" t="s">
        <v>73</v>
      </c>
      <c r="C14" t="s">
        <v>74</v>
      </c>
      <c r="D14" t="s">
        <v>75</v>
      </c>
      <c r="E14" s="3">
        <v>2008</v>
      </c>
      <c r="F14" s="3">
        <v>1</v>
      </c>
      <c r="G14" t="s">
        <v>253</v>
      </c>
      <c r="H14"/>
      <c r="I14" s="1">
        <v>45042</v>
      </c>
      <c r="J14" s="2">
        <v>4.4229166666666702</v>
      </c>
      <c r="K14" t="s">
        <v>20</v>
      </c>
      <c r="L14" s="3">
        <v>11</v>
      </c>
      <c r="M14" s="3">
        <v>99</v>
      </c>
      <c r="N14" s="3">
        <v>20</v>
      </c>
      <c r="O14" t="s">
        <v>34</v>
      </c>
    </row>
    <row r="15" spans="1:15" x14ac:dyDescent="0.2">
      <c r="A15" t="s">
        <v>31</v>
      </c>
      <c r="B15" t="s">
        <v>32</v>
      </c>
      <c r="C15" t="s">
        <v>17</v>
      </c>
      <c r="D15" t="s">
        <v>316</v>
      </c>
      <c r="E15" s="3">
        <v>2009</v>
      </c>
      <c r="F15" s="3">
        <v>1</v>
      </c>
      <c r="G15" t="s">
        <v>33</v>
      </c>
      <c r="H15">
        <v>9781400185139</v>
      </c>
      <c r="I15" s="1">
        <v>45334</v>
      </c>
      <c r="J15" s="2">
        <v>0.422916666666667</v>
      </c>
      <c r="K15" t="s">
        <v>20</v>
      </c>
      <c r="L15" s="3">
        <v>5</v>
      </c>
      <c r="M15" s="3">
        <v>100</v>
      </c>
      <c r="N15" s="3">
        <v>20</v>
      </c>
      <c r="O15" t="s">
        <v>34</v>
      </c>
    </row>
    <row r="16" spans="1:15" x14ac:dyDescent="0.2">
      <c r="A16" t="s">
        <v>72</v>
      </c>
      <c r="B16" t="s">
        <v>73</v>
      </c>
      <c r="C16" t="s">
        <v>74</v>
      </c>
      <c r="D16" t="s">
        <v>75</v>
      </c>
      <c r="E16" s="3">
        <v>2009</v>
      </c>
      <c r="F16" s="3">
        <v>2</v>
      </c>
      <c r="G16" t="s">
        <v>76</v>
      </c>
      <c r="H16"/>
      <c r="I16" s="1">
        <v>45064</v>
      </c>
      <c r="J16" s="2">
        <v>1.0479166666666699</v>
      </c>
      <c r="K16" t="s">
        <v>20</v>
      </c>
      <c r="L16" s="3">
        <v>12</v>
      </c>
      <c r="M16" s="3">
        <v>99</v>
      </c>
      <c r="N16" s="3">
        <v>19</v>
      </c>
      <c r="O16" t="s">
        <v>34</v>
      </c>
    </row>
    <row r="17" spans="1:15" x14ac:dyDescent="0.2">
      <c r="A17" t="s">
        <v>236</v>
      </c>
      <c r="B17" t="s">
        <v>32</v>
      </c>
      <c r="C17" t="s">
        <v>17</v>
      </c>
      <c r="D17" t="s">
        <v>316</v>
      </c>
      <c r="E17" s="3">
        <v>2009</v>
      </c>
      <c r="F17" s="3">
        <v>3</v>
      </c>
      <c r="G17" t="s">
        <v>97</v>
      </c>
      <c r="H17">
        <v>9781483089942</v>
      </c>
      <c r="I17" s="1">
        <v>45338</v>
      </c>
      <c r="J17" s="2">
        <v>3.96458333333333</v>
      </c>
      <c r="K17" t="s">
        <v>20</v>
      </c>
      <c r="L17" s="3">
        <v>9</v>
      </c>
      <c r="M17" s="3">
        <v>93</v>
      </c>
      <c r="N17" s="3">
        <v>20</v>
      </c>
      <c r="O17" t="s">
        <v>34</v>
      </c>
    </row>
    <row r="18" spans="1:15" x14ac:dyDescent="0.2">
      <c r="A18" t="s">
        <v>251</v>
      </c>
      <c r="B18" t="s">
        <v>32</v>
      </c>
      <c r="C18" t="s">
        <v>17</v>
      </c>
      <c r="D18" t="s">
        <v>316</v>
      </c>
      <c r="E18" s="3">
        <v>2009</v>
      </c>
      <c r="F18" s="3">
        <v>5</v>
      </c>
      <c r="G18" t="s">
        <v>33</v>
      </c>
      <c r="H18">
        <v>9781400185153</v>
      </c>
      <c r="I18" s="1">
        <v>45341</v>
      </c>
      <c r="J18" s="2">
        <v>4.3812499999999996</v>
      </c>
      <c r="K18" t="s">
        <v>20</v>
      </c>
      <c r="L18" s="3">
        <v>7</v>
      </c>
      <c r="M18" s="3">
        <v>88</v>
      </c>
      <c r="N18" s="3">
        <v>21</v>
      </c>
      <c r="O18" t="s">
        <v>34</v>
      </c>
    </row>
    <row r="19" spans="1:15" x14ac:dyDescent="0.2">
      <c r="A19" t="s">
        <v>251</v>
      </c>
      <c r="B19" t="s">
        <v>32</v>
      </c>
      <c r="C19" t="s">
        <v>17</v>
      </c>
      <c r="D19" t="s">
        <v>316</v>
      </c>
      <c r="E19" s="3">
        <v>2009</v>
      </c>
      <c r="F19" s="3">
        <v>5</v>
      </c>
      <c r="G19" t="s">
        <v>33</v>
      </c>
      <c r="H19">
        <v>9781400185153</v>
      </c>
      <c r="I19" s="1">
        <v>45341</v>
      </c>
      <c r="J19" s="2">
        <v>4.3812499999999996</v>
      </c>
      <c r="K19" t="s">
        <v>20</v>
      </c>
      <c r="L19" s="3">
        <v>7</v>
      </c>
      <c r="M19" s="3">
        <v>88</v>
      </c>
      <c r="N19" s="3">
        <v>21</v>
      </c>
      <c r="O19" t="s">
        <v>34</v>
      </c>
    </row>
    <row r="20" spans="1:15" x14ac:dyDescent="0.2">
      <c r="A20" t="s">
        <v>290</v>
      </c>
      <c r="B20" t="s">
        <v>32</v>
      </c>
      <c r="C20" t="s">
        <v>17</v>
      </c>
      <c r="D20" t="s">
        <v>316</v>
      </c>
      <c r="E20" s="3">
        <v>2009</v>
      </c>
      <c r="F20" s="3">
        <v>2</v>
      </c>
      <c r="G20" t="s">
        <v>33</v>
      </c>
      <c r="H20">
        <v>9781400185146</v>
      </c>
      <c r="I20" s="1">
        <v>45718</v>
      </c>
      <c r="J20" s="2">
        <v>5.21458333333333</v>
      </c>
      <c r="K20" t="s">
        <v>20</v>
      </c>
      <c r="L20" s="3">
        <v>5</v>
      </c>
      <c r="M20" s="3">
        <v>99</v>
      </c>
      <c r="N20" s="3">
        <v>21</v>
      </c>
      <c r="O20" t="s">
        <v>34</v>
      </c>
    </row>
    <row r="21" spans="1:15" x14ac:dyDescent="0.2">
      <c r="A21" t="s">
        <v>290</v>
      </c>
      <c r="B21" t="s">
        <v>32</v>
      </c>
      <c r="C21" t="s">
        <v>17</v>
      </c>
      <c r="D21" t="s">
        <v>316</v>
      </c>
      <c r="E21" s="3">
        <v>2009</v>
      </c>
      <c r="F21" s="3">
        <v>2</v>
      </c>
      <c r="G21" t="s">
        <v>33</v>
      </c>
      <c r="H21">
        <v>9781400185146</v>
      </c>
      <c r="I21" s="1">
        <v>45334</v>
      </c>
      <c r="J21" s="2">
        <v>5.2562499999999996</v>
      </c>
      <c r="K21" t="s">
        <v>20</v>
      </c>
      <c r="L21" s="3">
        <v>5</v>
      </c>
      <c r="M21" s="3">
        <v>100</v>
      </c>
      <c r="N21" s="3">
        <v>21</v>
      </c>
      <c r="O21" t="s">
        <v>34</v>
      </c>
    </row>
    <row r="22" spans="1:15" x14ac:dyDescent="0.2">
      <c r="A22" t="s">
        <v>311</v>
      </c>
      <c r="B22" t="s">
        <v>65</v>
      </c>
      <c r="C22" t="s">
        <v>56</v>
      </c>
      <c r="D22" t="s">
        <v>66</v>
      </c>
      <c r="E22" s="3">
        <v>2009</v>
      </c>
      <c r="F22" s="3">
        <v>1</v>
      </c>
      <c r="G22" t="s">
        <v>67</v>
      </c>
      <c r="H22">
        <v>9780007310341</v>
      </c>
      <c r="I22" s="1">
        <v>44136</v>
      </c>
      <c r="J22" s="2">
        <v>5.71458333333333</v>
      </c>
      <c r="K22" t="s">
        <v>20</v>
      </c>
      <c r="L22" s="3">
        <v>37</v>
      </c>
      <c r="M22" s="3">
        <v>100</v>
      </c>
      <c r="N22" s="3">
        <v>21</v>
      </c>
      <c r="O22" t="s">
        <v>21</v>
      </c>
    </row>
    <row r="23" spans="1:15" x14ac:dyDescent="0.2">
      <c r="A23" t="s">
        <v>311</v>
      </c>
      <c r="B23" t="s">
        <v>65</v>
      </c>
      <c r="C23" t="s">
        <v>56</v>
      </c>
      <c r="D23" t="s">
        <v>66</v>
      </c>
      <c r="E23" s="3">
        <v>2009</v>
      </c>
      <c r="F23" s="3">
        <v>1</v>
      </c>
      <c r="G23" t="s">
        <v>67</v>
      </c>
      <c r="H23" t="s">
        <v>312</v>
      </c>
      <c r="I23" s="1">
        <v>43831</v>
      </c>
      <c r="J23" s="2">
        <v>5.7562499999999996</v>
      </c>
      <c r="K23" t="s">
        <v>20</v>
      </c>
      <c r="L23" s="3">
        <v>37</v>
      </c>
      <c r="M23" s="3">
        <v>0</v>
      </c>
      <c r="N23" s="3">
        <v>21</v>
      </c>
      <c r="O23" t="s">
        <v>21</v>
      </c>
    </row>
    <row r="24" spans="1:15" x14ac:dyDescent="0.2">
      <c r="A24" t="s">
        <v>85</v>
      </c>
      <c r="B24" t="s">
        <v>86</v>
      </c>
      <c r="C24" t="s">
        <v>17</v>
      </c>
      <c r="D24" t="s">
        <v>44</v>
      </c>
      <c r="E24" s="3">
        <v>2010</v>
      </c>
      <c r="F24" s="3">
        <v>2</v>
      </c>
      <c r="G24" t="s">
        <v>60</v>
      </c>
      <c r="H24">
        <v>9781408481912</v>
      </c>
      <c r="I24" s="1">
        <v>45123</v>
      </c>
      <c r="J24" s="2">
        <v>1.1729166666666699</v>
      </c>
      <c r="K24" t="s">
        <v>20</v>
      </c>
      <c r="L24" s="3">
        <v>2</v>
      </c>
      <c r="M24" s="3">
        <v>100</v>
      </c>
      <c r="N24" s="3">
        <v>7</v>
      </c>
      <c r="O24" t="s">
        <v>34</v>
      </c>
    </row>
    <row r="25" spans="1:15" x14ac:dyDescent="0.2">
      <c r="A25" t="s">
        <v>87</v>
      </c>
      <c r="B25" t="s">
        <v>88</v>
      </c>
      <c r="C25" t="s">
        <v>89</v>
      </c>
      <c r="D25" t="s">
        <v>90</v>
      </c>
      <c r="E25" s="3">
        <v>2010</v>
      </c>
      <c r="G25" t="s">
        <v>91</v>
      </c>
      <c r="H25"/>
      <c r="I25" s="1">
        <v>45308</v>
      </c>
      <c r="J25" s="2">
        <v>1.21458333333333</v>
      </c>
      <c r="K25" t="s">
        <v>20</v>
      </c>
      <c r="L25" s="3">
        <v>19</v>
      </c>
      <c r="M25" s="3">
        <v>100</v>
      </c>
      <c r="N25" s="3">
        <v>19</v>
      </c>
      <c r="O25" t="s">
        <v>34</v>
      </c>
    </row>
    <row r="26" spans="1:15" x14ac:dyDescent="0.2">
      <c r="A26" t="s">
        <v>153</v>
      </c>
      <c r="B26" t="s">
        <v>73</v>
      </c>
      <c r="C26" t="s">
        <v>74</v>
      </c>
      <c r="D26" t="s">
        <v>75</v>
      </c>
      <c r="E26" s="3">
        <v>2010</v>
      </c>
      <c r="F26" s="3">
        <v>3</v>
      </c>
      <c r="G26" t="s">
        <v>76</v>
      </c>
      <c r="H26"/>
      <c r="I26" s="1">
        <v>45064</v>
      </c>
      <c r="J26" s="2">
        <v>2.4229166666666702</v>
      </c>
      <c r="K26" t="s">
        <v>20</v>
      </c>
      <c r="L26" s="3">
        <v>12</v>
      </c>
      <c r="M26" s="3">
        <v>98</v>
      </c>
      <c r="N26" s="3">
        <v>21</v>
      </c>
      <c r="O26" t="s">
        <v>34</v>
      </c>
    </row>
    <row r="27" spans="1:15" x14ac:dyDescent="0.2">
      <c r="A27" t="s">
        <v>195</v>
      </c>
      <c r="B27" t="s">
        <v>190</v>
      </c>
      <c r="C27" t="s">
        <v>89</v>
      </c>
      <c r="D27" t="s">
        <v>317</v>
      </c>
      <c r="E27" s="3">
        <v>2010</v>
      </c>
      <c r="G27" t="s">
        <v>91</v>
      </c>
      <c r="H27"/>
      <c r="I27" s="1">
        <v>45437</v>
      </c>
      <c r="J27" s="2">
        <v>3.2562500000000001</v>
      </c>
      <c r="K27" t="s">
        <v>20</v>
      </c>
      <c r="L27" s="3">
        <v>12</v>
      </c>
      <c r="M27" s="3">
        <v>100</v>
      </c>
      <c r="N27" s="3">
        <v>21</v>
      </c>
      <c r="O27" t="s">
        <v>34</v>
      </c>
    </row>
    <row r="28" spans="1:15" x14ac:dyDescent="0.2">
      <c r="A28" t="s">
        <v>195</v>
      </c>
      <c r="B28" t="s">
        <v>190</v>
      </c>
      <c r="C28" t="s">
        <v>89</v>
      </c>
      <c r="D28" t="s">
        <v>317</v>
      </c>
      <c r="E28" s="3">
        <v>2010</v>
      </c>
      <c r="G28" t="s">
        <v>91</v>
      </c>
      <c r="H28"/>
      <c r="I28" s="1">
        <v>45293</v>
      </c>
      <c r="J28" s="2">
        <v>3.1729166666666702</v>
      </c>
      <c r="K28" t="s">
        <v>20</v>
      </c>
      <c r="L28" s="3">
        <v>12</v>
      </c>
      <c r="M28" s="3">
        <v>99</v>
      </c>
      <c r="N28" s="3">
        <v>21</v>
      </c>
      <c r="O28" t="s">
        <v>34</v>
      </c>
    </row>
    <row r="29" spans="1:15" x14ac:dyDescent="0.2">
      <c r="A29" t="s">
        <v>195</v>
      </c>
      <c r="B29" t="s">
        <v>190</v>
      </c>
      <c r="C29" t="s">
        <v>89</v>
      </c>
      <c r="D29" t="s">
        <v>317</v>
      </c>
      <c r="E29" s="3">
        <v>2010</v>
      </c>
      <c r="G29" t="s">
        <v>91</v>
      </c>
      <c r="H29"/>
      <c r="I29" s="1">
        <v>45200</v>
      </c>
      <c r="J29" s="2">
        <v>3.2979166666666702</v>
      </c>
      <c r="K29" t="s">
        <v>20</v>
      </c>
      <c r="L29" s="3">
        <v>12</v>
      </c>
      <c r="M29" s="3">
        <v>100</v>
      </c>
      <c r="N29" s="3">
        <v>12</v>
      </c>
      <c r="O29" t="s">
        <v>34</v>
      </c>
    </row>
    <row r="30" spans="1:15" x14ac:dyDescent="0.2">
      <c r="A30" t="s">
        <v>195</v>
      </c>
      <c r="B30" t="s">
        <v>190</v>
      </c>
      <c r="C30" t="s">
        <v>89</v>
      </c>
      <c r="D30" t="s">
        <v>317</v>
      </c>
      <c r="E30" s="3">
        <v>2010</v>
      </c>
      <c r="G30" t="s">
        <v>91</v>
      </c>
      <c r="H30"/>
      <c r="I30" s="1">
        <v>45108</v>
      </c>
      <c r="J30" s="2">
        <v>3.1312500000000001</v>
      </c>
      <c r="K30" t="s">
        <v>20</v>
      </c>
      <c r="L30" s="3">
        <v>12</v>
      </c>
      <c r="M30" s="3">
        <v>98</v>
      </c>
      <c r="N30" s="3">
        <v>21</v>
      </c>
      <c r="O30" t="s">
        <v>34</v>
      </c>
    </row>
    <row r="31" spans="1:15" x14ac:dyDescent="0.2">
      <c r="A31" t="s">
        <v>195</v>
      </c>
      <c r="B31" t="s">
        <v>190</v>
      </c>
      <c r="C31" t="s">
        <v>89</v>
      </c>
      <c r="D31" t="s">
        <v>317</v>
      </c>
      <c r="E31" s="3">
        <v>2010</v>
      </c>
      <c r="G31" t="s">
        <v>91</v>
      </c>
      <c r="H31"/>
      <c r="I31" s="1">
        <v>45018</v>
      </c>
      <c r="J31" s="2">
        <v>3.21458333333333</v>
      </c>
      <c r="K31" t="s">
        <v>20</v>
      </c>
      <c r="L31" s="3">
        <v>12</v>
      </c>
      <c r="M31" s="3">
        <v>100</v>
      </c>
      <c r="N31" s="3">
        <v>21</v>
      </c>
      <c r="O31" t="s">
        <v>34</v>
      </c>
    </row>
    <row r="32" spans="1:15" x14ac:dyDescent="0.2">
      <c r="A32" t="s">
        <v>242</v>
      </c>
      <c r="B32" t="s">
        <v>243</v>
      </c>
      <c r="C32" t="s">
        <v>244</v>
      </c>
      <c r="D32" t="s">
        <v>334</v>
      </c>
      <c r="E32" s="3">
        <v>2010</v>
      </c>
      <c r="F32" s="3">
        <v>4</v>
      </c>
      <c r="G32" t="s">
        <v>93</v>
      </c>
      <c r="H32">
        <v>9780141962276</v>
      </c>
      <c r="I32" s="1">
        <v>45362</v>
      </c>
      <c r="J32" s="2">
        <v>4.08958333333333</v>
      </c>
      <c r="K32" t="s">
        <v>20</v>
      </c>
      <c r="L32" s="3">
        <v>11</v>
      </c>
      <c r="M32" s="3">
        <v>99</v>
      </c>
      <c r="N32" s="3">
        <v>21</v>
      </c>
      <c r="O32" t="s">
        <v>34</v>
      </c>
    </row>
    <row r="33" spans="1:15" x14ac:dyDescent="0.2">
      <c r="A33" t="s">
        <v>258</v>
      </c>
      <c r="B33" t="s">
        <v>243</v>
      </c>
      <c r="C33" t="s">
        <v>244</v>
      </c>
      <c r="D33" t="s">
        <v>334</v>
      </c>
      <c r="E33" s="3">
        <v>2010</v>
      </c>
      <c r="F33" s="3">
        <v>5</v>
      </c>
      <c r="G33" t="s">
        <v>93</v>
      </c>
      <c r="H33">
        <v>9780141962290</v>
      </c>
      <c r="I33" s="1">
        <v>45403</v>
      </c>
      <c r="J33" s="2">
        <v>4.5479166666666702</v>
      </c>
      <c r="K33" t="s">
        <v>20</v>
      </c>
      <c r="L33" s="3">
        <v>11</v>
      </c>
      <c r="M33" s="3">
        <v>100</v>
      </c>
      <c r="N33" s="3">
        <v>21</v>
      </c>
      <c r="O33" t="s">
        <v>34</v>
      </c>
    </row>
    <row r="34" spans="1:15" x14ac:dyDescent="0.2">
      <c r="A34" t="s">
        <v>263</v>
      </c>
      <c r="B34" t="s">
        <v>243</v>
      </c>
      <c r="C34" t="s">
        <v>244</v>
      </c>
      <c r="D34" t="s">
        <v>334</v>
      </c>
      <c r="E34" s="3">
        <v>2010</v>
      </c>
      <c r="F34" s="3">
        <v>1</v>
      </c>
      <c r="G34" t="s">
        <v>93</v>
      </c>
      <c r="H34">
        <v>9780141961941</v>
      </c>
      <c r="I34" s="1">
        <v>45591</v>
      </c>
      <c r="J34" s="2">
        <v>4.71458333333333</v>
      </c>
      <c r="K34" t="s">
        <v>20</v>
      </c>
      <c r="L34" s="3">
        <v>10</v>
      </c>
      <c r="M34" s="3">
        <v>88</v>
      </c>
      <c r="N34" s="3">
        <v>13</v>
      </c>
      <c r="O34" t="s">
        <v>34</v>
      </c>
    </row>
    <row r="35" spans="1:15" x14ac:dyDescent="0.2">
      <c r="A35" t="s">
        <v>263</v>
      </c>
      <c r="B35" t="s">
        <v>243</v>
      </c>
      <c r="C35" t="s">
        <v>244</v>
      </c>
      <c r="D35" t="s">
        <v>334</v>
      </c>
      <c r="E35" s="3">
        <v>2010</v>
      </c>
      <c r="F35" s="3">
        <v>1</v>
      </c>
      <c r="G35" t="s">
        <v>93</v>
      </c>
      <c r="H35">
        <v>9780141961941</v>
      </c>
      <c r="I35" s="1">
        <v>45010</v>
      </c>
      <c r="J35" s="2">
        <v>4.6729166666666702</v>
      </c>
      <c r="K35" t="s">
        <v>20</v>
      </c>
      <c r="L35" s="3">
        <v>4</v>
      </c>
      <c r="M35" s="3">
        <v>50</v>
      </c>
      <c r="N35" s="3">
        <v>11</v>
      </c>
      <c r="O35" t="s">
        <v>34</v>
      </c>
    </row>
    <row r="36" spans="1:15" x14ac:dyDescent="0.2">
      <c r="A36" t="s">
        <v>282</v>
      </c>
      <c r="B36" t="s">
        <v>243</v>
      </c>
      <c r="C36" t="s">
        <v>244</v>
      </c>
      <c r="D36" t="s">
        <v>334</v>
      </c>
      <c r="E36" s="3">
        <v>2010</v>
      </c>
      <c r="F36" s="3">
        <v>2</v>
      </c>
      <c r="G36" t="s">
        <v>93</v>
      </c>
      <c r="H36">
        <v>9780141962269</v>
      </c>
      <c r="I36" s="1">
        <v>45321</v>
      </c>
      <c r="J36" s="2">
        <v>5.0479166666666702</v>
      </c>
      <c r="K36" t="s">
        <v>20</v>
      </c>
      <c r="L36" s="3">
        <v>8</v>
      </c>
      <c r="M36" s="3">
        <v>100</v>
      </c>
      <c r="N36" s="3">
        <v>20</v>
      </c>
      <c r="O36" t="s">
        <v>34</v>
      </c>
    </row>
    <row r="37" spans="1:15" x14ac:dyDescent="0.2">
      <c r="A37" t="s">
        <v>282</v>
      </c>
      <c r="B37" t="s">
        <v>243</v>
      </c>
      <c r="C37" t="s">
        <v>244</v>
      </c>
      <c r="D37" t="s">
        <v>334</v>
      </c>
      <c r="E37" s="3">
        <v>2010</v>
      </c>
      <c r="F37" s="3">
        <v>1</v>
      </c>
      <c r="G37" t="s">
        <v>93</v>
      </c>
      <c r="H37">
        <v>9780141962269</v>
      </c>
      <c r="I37" s="1">
        <v>45039</v>
      </c>
      <c r="J37" s="2">
        <v>5.0062499999999996</v>
      </c>
      <c r="K37" t="s">
        <v>20</v>
      </c>
      <c r="L37" s="3">
        <v>8</v>
      </c>
      <c r="M37" s="3">
        <v>99</v>
      </c>
      <c r="N37" s="3">
        <v>21</v>
      </c>
      <c r="O37" t="s">
        <v>34</v>
      </c>
    </row>
    <row r="38" spans="1:15" x14ac:dyDescent="0.2">
      <c r="A38" t="s">
        <v>294</v>
      </c>
      <c r="B38" t="s">
        <v>243</v>
      </c>
      <c r="C38" t="s">
        <v>244</v>
      </c>
      <c r="D38" t="s">
        <v>334</v>
      </c>
      <c r="E38" s="3">
        <v>2010</v>
      </c>
      <c r="F38" s="3">
        <v>3</v>
      </c>
      <c r="G38" t="s">
        <v>93</v>
      </c>
      <c r="H38">
        <v>9780141962283</v>
      </c>
      <c r="I38" s="1">
        <v>45338</v>
      </c>
      <c r="J38" s="2">
        <v>5.33958333333333</v>
      </c>
      <c r="K38" t="s">
        <v>20</v>
      </c>
      <c r="L38" s="3">
        <v>9</v>
      </c>
      <c r="M38" s="3">
        <v>100</v>
      </c>
      <c r="N38" s="3">
        <v>21</v>
      </c>
      <c r="O38" t="s">
        <v>34</v>
      </c>
    </row>
    <row r="39" spans="1:15" x14ac:dyDescent="0.2">
      <c r="A39" t="s">
        <v>92</v>
      </c>
      <c r="B39" t="s">
        <v>70</v>
      </c>
      <c r="C39" t="s">
        <v>17</v>
      </c>
      <c r="D39" t="s">
        <v>29</v>
      </c>
      <c r="E39" s="3">
        <v>2011</v>
      </c>
      <c r="F39" s="3">
        <v>2</v>
      </c>
      <c r="G39" t="s">
        <v>71</v>
      </c>
      <c r="H39">
        <v>9781407041520</v>
      </c>
      <c r="I39" s="1">
        <v>44715</v>
      </c>
      <c r="J39" s="2">
        <v>1.2562500000000001</v>
      </c>
      <c r="K39" t="s">
        <v>20</v>
      </c>
      <c r="L39" s="3">
        <v>9</v>
      </c>
      <c r="M39" s="3">
        <v>97</v>
      </c>
      <c r="N39" s="3">
        <v>20</v>
      </c>
      <c r="O39" t="s">
        <v>34</v>
      </c>
    </row>
    <row r="40" spans="1:15" x14ac:dyDescent="0.2">
      <c r="A40" t="s">
        <v>92</v>
      </c>
      <c r="B40" t="s">
        <v>70</v>
      </c>
      <c r="C40" t="s">
        <v>17</v>
      </c>
      <c r="D40" t="s">
        <v>29</v>
      </c>
      <c r="E40" s="3">
        <v>2011</v>
      </c>
      <c r="F40" s="3">
        <v>2</v>
      </c>
      <c r="G40" t="s">
        <v>93</v>
      </c>
      <c r="H40">
        <v>9781407047171</v>
      </c>
      <c r="I40" s="1">
        <v>45017</v>
      </c>
      <c r="J40" s="2">
        <v>1.2979166666666699</v>
      </c>
      <c r="K40" t="s">
        <v>20</v>
      </c>
      <c r="L40" s="3">
        <v>9</v>
      </c>
      <c r="M40" s="3">
        <v>100</v>
      </c>
      <c r="N40" s="3">
        <v>21</v>
      </c>
      <c r="O40" t="s">
        <v>34</v>
      </c>
    </row>
    <row r="41" spans="1:15" x14ac:dyDescent="0.2">
      <c r="A41" t="s">
        <v>98</v>
      </c>
      <c r="B41" t="s">
        <v>70</v>
      </c>
      <c r="C41" t="s">
        <v>17</v>
      </c>
      <c r="D41" t="s">
        <v>29</v>
      </c>
      <c r="E41" s="3">
        <v>2011</v>
      </c>
      <c r="F41" s="3">
        <v>1</v>
      </c>
      <c r="G41" t="s">
        <v>71</v>
      </c>
      <c r="H41"/>
      <c r="I41" s="1">
        <v>45585</v>
      </c>
      <c r="J41" s="2">
        <v>1.46458333333333</v>
      </c>
      <c r="K41" t="s">
        <v>20</v>
      </c>
      <c r="L41" s="3">
        <v>16</v>
      </c>
      <c r="M41" s="3">
        <v>99</v>
      </c>
      <c r="N41" s="3">
        <v>17</v>
      </c>
      <c r="O41" t="s">
        <v>21</v>
      </c>
    </row>
    <row r="42" spans="1:15" x14ac:dyDescent="0.2">
      <c r="A42" t="s">
        <v>98</v>
      </c>
      <c r="B42" t="s">
        <v>70</v>
      </c>
      <c r="C42" t="s">
        <v>17</v>
      </c>
      <c r="D42" t="s">
        <v>29</v>
      </c>
      <c r="E42" s="3">
        <v>2011</v>
      </c>
      <c r="G42" t="s">
        <v>71</v>
      </c>
      <c r="H42">
        <v>9780807219645</v>
      </c>
      <c r="I42" s="1">
        <v>45010</v>
      </c>
      <c r="J42" s="2">
        <v>1.3812500000000001</v>
      </c>
      <c r="K42" t="s">
        <v>20</v>
      </c>
      <c r="L42" s="3">
        <v>16</v>
      </c>
      <c r="M42" s="3">
        <v>28</v>
      </c>
      <c r="N42" s="3">
        <v>13</v>
      </c>
      <c r="O42" t="s">
        <v>34</v>
      </c>
    </row>
    <row r="43" spans="1:15" x14ac:dyDescent="0.2">
      <c r="A43" t="s">
        <v>98</v>
      </c>
      <c r="B43" t="s">
        <v>70</v>
      </c>
      <c r="C43" t="s">
        <v>17</v>
      </c>
      <c r="D43" t="s">
        <v>29</v>
      </c>
      <c r="E43" s="3">
        <v>2011</v>
      </c>
      <c r="F43" s="3">
        <v>1</v>
      </c>
      <c r="G43" t="s">
        <v>71</v>
      </c>
      <c r="H43">
        <v>9781448197736</v>
      </c>
      <c r="I43" s="1">
        <v>44770</v>
      </c>
      <c r="J43" s="2">
        <v>1.4229166666666699</v>
      </c>
      <c r="K43" t="s">
        <v>20</v>
      </c>
      <c r="L43" s="3">
        <v>16</v>
      </c>
      <c r="M43" s="3">
        <v>99</v>
      </c>
      <c r="N43" s="3">
        <v>10</v>
      </c>
      <c r="O43" t="s">
        <v>34</v>
      </c>
    </row>
    <row r="44" spans="1:15" x14ac:dyDescent="0.2">
      <c r="A44" t="s">
        <v>98</v>
      </c>
      <c r="B44" t="s">
        <v>70</v>
      </c>
      <c r="C44" t="s">
        <v>17</v>
      </c>
      <c r="D44" t="s">
        <v>29</v>
      </c>
      <c r="E44" s="3">
        <v>2011</v>
      </c>
      <c r="F44" s="3">
        <v>1</v>
      </c>
      <c r="G44" t="s">
        <v>71</v>
      </c>
      <c r="H44">
        <v>9781448197736</v>
      </c>
      <c r="I44" s="1">
        <v>44330</v>
      </c>
      <c r="J44" s="2">
        <v>1.5062500000000001</v>
      </c>
      <c r="K44" t="s">
        <v>20</v>
      </c>
      <c r="L44" s="3">
        <v>16</v>
      </c>
      <c r="M44" s="3">
        <v>100</v>
      </c>
      <c r="N44" s="3">
        <v>20</v>
      </c>
      <c r="O44" t="s">
        <v>34</v>
      </c>
    </row>
    <row r="45" spans="1:15" x14ac:dyDescent="0.2">
      <c r="A45" t="s">
        <v>134</v>
      </c>
      <c r="B45" t="s">
        <v>70</v>
      </c>
      <c r="C45" t="s">
        <v>17</v>
      </c>
      <c r="D45" t="s">
        <v>29</v>
      </c>
      <c r="E45" s="3">
        <v>2011</v>
      </c>
      <c r="F45" s="3">
        <v>4.0999999999999996</v>
      </c>
      <c r="G45" t="s">
        <v>103</v>
      </c>
      <c r="H45">
        <v>9781446453605</v>
      </c>
      <c r="I45" s="1">
        <v>45095</v>
      </c>
      <c r="J45" s="2">
        <v>2.0479166666666702</v>
      </c>
      <c r="K45" t="s">
        <v>20</v>
      </c>
      <c r="L45" s="3">
        <v>16</v>
      </c>
      <c r="M45" s="3">
        <v>97</v>
      </c>
      <c r="N45" s="3">
        <v>21</v>
      </c>
      <c r="O45" t="s">
        <v>34</v>
      </c>
    </row>
    <row r="46" spans="1:15" x14ac:dyDescent="0.2">
      <c r="A46" t="s">
        <v>135</v>
      </c>
      <c r="B46" t="s">
        <v>70</v>
      </c>
      <c r="C46" t="s">
        <v>17</v>
      </c>
      <c r="D46" t="s">
        <v>29</v>
      </c>
      <c r="E46" s="3">
        <v>2011</v>
      </c>
      <c r="F46" s="3">
        <v>4.2</v>
      </c>
      <c r="G46" t="s">
        <v>103</v>
      </c>
      <c r="H46">
        <v>9781446453612</v>
      </c>
      <c r="I46" s="1">
        <v>45433</v>
      </c>
      <c r="J46" s="2">
        <v>2.1312500000000001</v>
      </c>
      <c r="K46" t="s">
        <v>20</v>
      </c>
      <c r="L46" s="3">
        <v>16</v>
      </c>
      <c r="M46" s="3">
        <v>100</v>
      </c>
      <c r="N46" s="3">
        <v>21</v>
      </c>
      <c r="O46" t="s">
        <v>34</v>
      </c>
    </row>
    <row r="47" spans="1:15" x14ac:dyDescent="0.2">
      <c r="A47" t="s">
        <v>135</v>
      </c>
      <c r="B47" t="s">
        <v>70</v>
      </c>
      <c r="C47" t="s">
        <v>17</v>
      </c>
      <c r="D47" t="s">
        <v>29</v>
      </c>
      <c r="E47" s="3">
        <v>2011</v>
      </c>
      <c r="F47" s="3">
        <v>4.2</v>
      </c>
      <c r="G47" t="s">
        <v>103</v>
      </c>
      <c r="H47">
        <v>9781446453612</v>
      </c>
      <c r="I47" s="1">
        <v>45099</v>
      </c>
      <c r="J47" s="2">
        <v>2.08958333333333</v>
      </c>
      <c r="K47" t="s">
        <v>20</v>
      </c>
      <c r="L47" s="3">
        <v>16</v>
      </c>
      <c r="M47" s="3">
        <v>100</v>
      </c>
      <c r="N47" s="3">
        <v>21</v>
      </c>
      <c r="O47" t="s">
        <v>34</v>
      </c>
    </row>
    <row r="48" spans="1:15" x14ac:dyDescent="0.2">
      <c r="A48" t="s">
        <v>283</v>
      </c>
      <c r="B48" t="s">
        <v>284</v>
      </c>
      <c r="C48" t="s">
        <v>132</v>
      </c>
      <c r="D48" t="s">
        <v>285</v>
      </c>
      <c r="E48" s="3">
        <v>2011</v>
      </c>
      <c r="G48" t="s">
        <v>152</v>
      </c>
      <c r="H48" t="s">
        <v>286</v>
      </c>
      <c r="I48" s="1">
        <v>44013</v>
      </c>
      <c r="J48" s="2">
        <v>5.1312499999999996</v>
      </c>
      <c r="K48" t="s">
        <v>20</v>
      </c>
      <c r="L48" s="3">
        <v>7</v>
      </c>
      <c r="M48" s="3">
        <v>100</v>
      </c>
      <c r="N48" s="3">
        <v>21</v>
      </c>
      <c r="O48" t="s">
        <v>21</v>
      </c>
    </row>
    <row r="49" spans="1:15" x14ac:dyDescent="0.2">
      <c r="A49" t="s">
        <v>283</v>
      </c>
      <c r="B49" t="s">
        <v>284</v>
      </c>
      <c r="C49" t="s">
        <v>132</v>
      </c>
      <c r="D49" t="s">
        <v>285</v>
      </c>
      <c r="E49" s="3">
        <v>2011</v>
      </c>
      <c r="G49" t="s">
        <v>152</v>
      </c>
      <c r="H49">
        <v>9780099570148</v>
      </c>
      <c r="I49" s="1">
        <v>43953</v>
      </c>
      <c r="J49" s="2">
        <v>5.08958333333333</v>
      </c>
      <c r="K49" t="s">
        <v>20</v>
      </c>
      <c r="L49" s="3">
        <v>7</v>
      </c>
      <c r="M49" s="3">
        <v>20</v>
      </c>
      <c r="N49" s="3">
        <v>19</v>
      </c>
      <c r="O49" t="s">
        <v>21</v>
      </c>
    </row>
    <row r="50" spans="1:15" x14ac:dyDescent="0.2">
      <c r="A50" t="s">
        <v>64</v>
      </c>
      <c r="B50" t="s">
        <v>65</v>
      </c>
      <c r="C50" t="s">
        <v>56</v>
      </c>
      <c r="D50" t="s">
        <v>66</v>
      </c>
      <c r="E50" s="3">
        <v>2012</v>
      </c>
      <c r="F50" s="3">
        <v>2</v>
      </c>
      <c r="G50" t="s">
        <v>67</v>
      </c>
      <c r="H50">
        <v>9780007422685</v>
      </c>
      <c r="I50" s="1">
        <v>44531</v>
      </c>
      <c r="J50" s="2">
        <v>0.88124999999999998</v>
      </c>
      <c r="K50" t="s">
        <v>20</v>
      </c>
      <c r="L50" s="3">
        <v>23</v>
      </c>
      <c r="M50" s="3">
        <v>73</v>
      </c>
      <c r="N50" s="3">
        <v>21</v>
      </c>
      <c r="O50" t="s">
        <v>21</v>
      </c>
    </row>
    <row r="51" spans="1:15" x14ac:dyDescent="0.2">
      <c r="A51" t="s">
        <v>64</v>
      </c>
      <c r="B51" t="s">
        <v>65</v>
      </c>
      <c r="C51" t="s">
        <v>56</v>
      </c>
      <c r="D51" t="s">
        <v>66</v>
      </c>
      <c r="E51" s="3">
        <v>2012</v>
      </c>
      <c r="F51" s="3">
        <v>2</v>
      </c>
      <c r="G51" t="s">
        <v>67</v>
      </c>
      <c r="H51" t="s">
        <v>68</v>
      </c>
      <c r="I51" s="1">
        <v>44228</v>
      </c>
      <c r="J51" s="2">
        <v>0.92291666666666705</v>
      </c>
      <c r="K51" t="s">
        <v>20</v>
      </c>
      <c r="L51" s="3">
        <v>23</v>
      </c>
      <c r="M51" s="3">
        <v>22</v>
      </c>
      <c r="N51" s="3">
        <v>21</v>
      </c>
      <c r="O51" t="s">
        <v>21</v>
      </c>
    </row>
    <row r="52" spans="1:15" x14ac:dyDescent="0.2">
      <c r="A52" t="s">
        <v>139</v>
      </c>
      <c r="B52" t="s">
        <v>140</v>
      </c>
      <c r="C52" t="s">
        <v>37</v>
      </c>
      <c r="D52" t="s">
        <v>335</v>
      </c>
      <c r="E52" s="3">
        <v>2012</v>
      </c>
      <c r="G52" t="s">
        <v>141</v>
      </c>
      <c r="H52">
        <v>9780718197155</v>
      </c>
      <c r="I52" s="1">
        <v>45796</v>
      </c>
      <c r="J52" s="2">
        <v>2.21458333333333</v>
      </c>
      <c r="K52" t="s">
        <v>20</v>
      </c>
      <c r="L52" s="3">
        <v>11</v>
      </c>
      <c r="M52" s="3">
        <v>98</v>
      </c>
      <c r="N52" s="3">
        <v>21</v>
      </c>
      <c r="O52" t="s">
        <v>34</v>
      </c>
    </row>
    <row r="53" spans="1:15" x14ac:dyDescent="0.2">
      <c r="A53" t="s">
        <v>157</v>
      </c>
      <c r="B53" t="s">
        <v>86</v>
      </c>
      <c r="C53" t="s">
        <v>89</v>
      </c>
      <c r="D53" t="s">
        <v>44</v>
      </c>
      <c r="E53" s="3">
        <v>2014</v>
      </c>
      <c r="G53" t="s">
        <v>158</v>
      </c>
      <c r="H53">
        <v>9780007595204</v>
      </c>
      <c r="I53" s="1">
        <v>45809</v>
      </c>
      <c r="J53" s="2">
        <v>2.5062500000000001</v>
      </c>
      <c r="K53" t="s">
        <v>20</v>
      </c>
      <c r="L53" s="3">
        <v>7</v>
      </c>
      <c r="M53" s="3">
        <v>100</v>
      </c>
      <c r="N53" s="3">
        <v>21</v>
      </c>
      <c r="O53" t="s">
        <v>21</v>
      </c>
    </row>
    <row r="54" spans="1:15" x14ac:dyDescent="0.2">
      <c r="A54" t="s">
        <v>207</v>
      </c>
      <c r="B54" t="s">
        <v>208</v>
      </c>
      <c r="C54" t="s">
        <v>89</v>
      </c>
      <c r="D54" t="s">
        <v>170</v>
      </c>
      <c r="E54" s="3">
        <v>2014</v>
      </c>
      <c r="G54" t="s">
        <v>209</v>
      </c>
      <c r="H54">
        <v>9781478924302</v>
      </c>
      <c r="I54" s="1">
        <v>45501</v>
      </c>
      <c r="J54" s="2">
        <v>3.46458333333333</v>
      </c>
      <c r="K54" t="s">
        <v>20</v>
      </c>
      <c r="L54" s="3">
        <v>15</v>
      </c>
      <c r="M54" s="3">
        <v>100</v>
      </c>
      <c r="N54" s="3">
        <v>20</v>
      </c>
      <c r="O54" t="s">
        <v>21</v>
      </c>
    </row>
    <row r="55" spans="1:15" x14ac:dyDescent="0.2">
      <c r="A55" t="s">
        <v>257</v>
      </c>
      <c r="B55" t="s">
        <v>86</v>
      </c>
      <c r="C55" t="s">
        <v>89</v>
      </c>
      <c r="D55" t="s">
        <v>44</v>
      </c>
      <c r="E55" s="3">
        <v>2014</v>
      </c>
      <c r="F55" s="3">
        <v>27</v>
      </c>
      <c r="G55" t="s">
        <v>158</v>
      </c>
      <c r="H55">
        <v>9780007595464</v>
      </c>
      <c r="I55" s="1">
        <v>45664</v>
      </c>
      <c r="J55" s="2">
        <v>4.5062499999999996</v>
      </c>
      <c r="K55" t="s">
        <v>20</v>
      </c>
      <c r="L55" s="3">
        <v>9</v>
      </c>
      <c r="M55" s="3">
        <v>58</v>
      </c>
      <c r="N55" s="3">
        <v>21</v>
      </c>
      <c r="O55" t="s">
        <v>34</v>
      </c>
    </row>
    <row r="56" spans="1:15" x14ac:dyDescent="0.2">
      <c r="A56" t="s">
        <v>22</v>
      </c>
      <c r="B56" t="s">
        <v>16</v>
      </c>
      <c r="C56" t="s">
        <v>17</v>
      </c>
      <c r="D56" t="s">
        <v>18</v>
      </c>
      <c r="E56" s="3">
        <v>2015</v>
      </c>
      <c r="F56" s="3">
        <v>1</v>
      </c>
      <c r="G56" t="s">
        <v>19</v>
      </c>
      <c r="H56"/>
      <c r="I56" s="1">
        <v>44360</v>
      </c>
      <c r="J56" s="2">
        <v>0.25624999999999998</v>
      </c>
      <c r="K56" t="s">
        <v>20</v>
      </c>
      <c r="L56" s="3">
        <v>16</v>
      </c>
      <c r="M56" s="3">
        <v>100</v>
      </c>
      <c r="N56" s="3">
        <v>21</v>
      </c>
      <c r="O56" t="s">
        <v>21</v>
      </c>
    </row>
    <row r="57" spans="1:15" x14ac:dyDescent="0.2">
      <c r="A57" t="s">
        <v>24</v>
      </c>
      <c r="B57" t="s">
        <v>25</v>
      </c>
      <c r="C57" t="s">
        <v>17</v>
      </c>
      <c r="D57" t="s">
        <v>26</v>
      </c>
      <c r="E57" s="3">
        <v>2015</v>
      </c>
      <c r="F57" s="3">
        <v>1</v>
      </c>
      <c r="H57"/>
      <c r="I57" s="1">
        <v>43836</v>
      </c>
      <c r="J57" s="2">
        <v>0.33958333333333302</v>
      </c>
      <c r="K57" t="s">
        <v>20</v>
      </c>
      <c r="L57" s="3">
        <v>34</v>
      </c>
      <c r="M57" s="3">
        <v>100</v>
      </c>
      <c r="N57" s="3">
        <v>21</v>
      </c>
      <c r="O57" t="s">
        <v>21</v>
      </c>
    </row>
    <row r="58" spans="1:15" x14ac:dyDescent="0.2">
      <c r="A58" t="s">
        <v>58</v>
      </c>
      <c r="B58" t="s">
        <v>59</v>
      </c>
      <c r="C58" t="s">
        <v>17</v>
      </c>
      <c r="D58" t="s">
        <v>316</v>
      </c>
      <c r="E58" s="3">
        <v>2015</v>
      </c>
      <c r="G58" t="s">
        <v>60</v>
      </c>
      <c r="H58">
        <v>9781785291562</v>
      </c>
      <c r="I58" s="1">
        <v>45335</v>
      </c>
      <c r="J58" s="2">
        <v>0.79791666666666705</v>
      </c>
      <c r="K58" t="s">
        <v>20</v>
      </c>
      <c r="L58" s="3">
        <v>2</v>
      </c>
      <c r="M58" s="3">
        <v>100</v>
      </c>
      <c r="N58" s="3">
        <v>21</v>
      </c>
      <c r="O58" t="s">
        <v>34</v>
      </c>
    </row>
    <row r="59" spans="1:15" x14ac:dyDescent="0.2">
      <c r="A59" t="s">
        <v>235</v>
      </c>
      <c r="B59" t="s">
        <v>32</v>
      </c>
      <c r="C59" t="s">
        <v>17</v>
      </c>
      <c r="D59" t="s">
        <v>316</v>
      </c>
      <c r="E59" s="3">
        <v>2015</v>
      </c>
      <c r="G59" t="s">
        <v>97</v>
      </c>
      <c r="H59">
        <v>9781483093901</v>
      </c>
      <c r="I59" s="1">
        <v>45346</v>
      </c>
      <c r="J59" s="2">
        <v>3.9229166666666702</v>
      </c>
      <c r="K59" t="s">
        <v>20</v>
      </c>
      <c r="L59" s="3">
        <v>0.5</v>
      </c>
      <c r="M59" s="3">
        <v>100</v>
      </c>
      <c r="N59" s="3">
        <v>21</v>
      </c>
      <c r="O59" t="s">
        <v>34</v>
      </c>
    </row>
    <row r="60" spans="1:15" x14ac:dyDescent="0.2">
      <c r="A60" t="s">
        <v>250</v>
      </c>
      <c r="B60" t="s">
        <v>32</v>
      </c>
      <c r="C60" t="s">
        <v>17</v>
      </c>
      <c r="D60" t="s">
        <v>316</v>
      </c>
      <c r="E60" s="3">
        <v>2015</v>
      </c>
      <c r="G60" t="s">
        <v>97</v>
      </c>
      <c r="H60">
        <v>9781504604758</v>
      </c>
      <c r="I60" s="1">
        <v>45346</v>
      </c>
      <c r="J60" s="2">
        <v>4.33958333333333</v>
      </c>
      <c r="K60" t="s">
        <v>20</v>
      </c>
      <c r="L60" s="3">
        <v>1</v>
      </c>
      <c r="M60" s="3">
        <v>100</v>
      </c>
      <c r="N60" s="3">
        <v>21</v>
      </c>
      <c r="O60" t="s">
        <v>34</v>
      </c>
    </row>
    <row r="61" spans="1:15" x14ac:dyDescent="0.2">
      <c r="A61" t="s">
        <v>15</v>
      </c>
      <c r="B61" t="s">
        <v>16</v>
      </c>
      <c r="C61" t="s">
        <v>17</v>
      </c>
      <c r="D61" t="s">
        <v>18</v>
      </c>
      <c r="E61" s="3">
        <v>2016</v>
      </c>
      <c r="F61" s="3">
        <v>2</v>
      </c>
      <c r="G61" t="s">
        <v>19</v>
      </c>
      <c r="H61"/>
      <c r="I61" s="1">
        <v>44452</v>
      </c>
      <c r="J61" s="2">
        <v>0.21458333333333335</v>
      </c>
      <c r="K61" t="s">
        <v>20</v>
      </c>
      <c r="L61" s="3">
        <v>23</v>
      </c>
      <c r="M61" s="3">
        <v>100</v>
      </c>
      <c r="N61" s="3">
        <v>21</v>
      </c>
      <c r="O61" t="s">
        <v>21</v>
      </c>
    </row>
    <row r="62" spans="1:15" x14ac:dyDescent="0.2">
      <c r="A62" t="s">
        <v>23</v>
      </c>
      <c r="B62" t="s">
        <v>16</v>
      </c>
      <c r="C62" t="s">
        <v>17</v>
      </c>
      <c r="D62" t="s">
        <v>18</v>
      </c>
      <c r="E62" s="3">
        <v>2017</v>
      </c>
      <c r="F62" s="3">
        <v>3</v>
      </c>
      <c r="G62" t="s">
        <v>19</v>
      </c>
      <c r="H62"/>
      <c r="I62" s="1">
        <v>44536</v>
      </c>
      <c r="J62" s="2">
        <v>0.297916666666667</v>
      </c>
      <c r="K62" t="s">
        <v>20</v>
      </c>
      <c r="L62" s="3">
        <v>25</v>
      </c>
      <c r="M62" s="3">
        <v>100</v>
      </c>
      <c r="N62" s="3">
        <v>21</v>
      </c>
      <c r="O62" t="s">
        <v>21</v>
      </c>
    </row>
    <row r="63" spans="1:15" x14ac:dyDescent="0.2">
      <c r="A63" t="s">
        <v>145</v>
      </c>
      <c r="B63" t="s">
        <v>146</v>
      </c>
      <c r="C63" t="s">
        <v>132</v>
      </c>
      <c r="D63" t="s">
        <v>147</v>
      </c>
      <c r="E63" s="3">
        <v>2017</v>
      </c>
      <c r="G63" t="s">
        <v>148</v>
      </c>
      <c r="H63" t="s">
        <v>149</v>
      </c>
      <c r="I63" s="1">
        <v>44256</v>
      </c>
      <c r="J63" s="2">
        <v>2.33958333333333</v>
      </c>
      <c r="K63" t="s">
        <v>20</v>
      </c>
      <c r="L63" s="3">
        <v>18</v>
      </c>
      <c r="M63" s="3">
        <v>50</v>
      </c>
      <c r="N63" s="3">
        <v>21</v>
      </c>
      <c r="O63" t="s">
        <v>21</v>
      </c>
    </row>
    <row r="64" spans="1:15" x14ac:dyDescent="0.2">
      <c r="A64" t="s">
        <v>145</v>
      </c>
      <c r="B64" t="s">
        <v>146</v>
      </c>
      <c r="C64" t="s">
        <v>132</v>
      </c>
      <c r="D64" t="s">
        <v>147</v>
      </c>
      <c r="E64" s="3">
        <v>2017</v>
      </c>
      <c r="G64" t="s">
        <v>148</v>
      </c>
      <c r="H64">
        <v>9781526605824</v>
      </c>
      <c r="I64" s="1">
        <v>44228</v>
      </c>
      <c r="J64" s="2">
        <v>2.2979166666666702</v>
      </c>
      <c r="K64" t="s">
        <v>20</v>
      </c>
      <c r="L64" s="3">
        <v>18</v>
      </c>
      <c r="M64" s="3">
        <v>44</v>
      </c>
      <c r="N64" s="3">
        <v>21</v>
      </c>
      <c r="O64" t="s">
        <v>21</v>
      </c>
    </row>
    <row r="65" spans="1:15" x14ac:dyDescent="0.2">
      <c r="A65" t="s">
        <v>162</v>
      </c>
      <c r="B65" t="s">
        <v>163</v>
      </c>
      <c r="C65" t="s">
        <v>164</v>
      </c>
      <c r="D65" t="s">
        <v>165</v>
      </c>
      <c r="E65" s="3">
        <v>2017</v>
      </c>
      <c r="F65" s="3">
        <v>1</v>
      </c>
      <c r="G65" t="s">
        <v>141</v>
      </c>
      <c r="H65">
        <v>9781405934312</v>
      </c>
      <c r="I65" s="1">
        <v>45351</v>
      </c>
      <c r="J65" s="2">
        <v>2.6312500000000001</v>
      </c>
      <c r="K65" t="s">
        <v>20</v>
      </c>
      <c r="L65" s="3">
        <v>15</v>
      </c>
      <c r="M65" s="3">
        <v>98</v>
      </c>
      <c r="N65" s="3">
        <v>21</v>
      </c>
      <c r="O65" t="s">
        <v>34</v>
      </c>
    </row>
    <row r="66" spans="1:15" x14ac:dyDescent="0.2">
      <c r="A66" t="s">
        <v>210</v>
      </c>
      <c r="B66" t="s">
        <v>211</v>
      </c>
      <c r="C66" t="s">
        <v>132</v>
      </c>
      <c r="D66" t="s">
        <v>212</v>
      </c>
      <c r="E66" s="3">
        <v>2017</v>
      </c>
      <c r="G66" t="s">
        <v>57</v>
      </c>
      <c r="H66"/>
      <c r="I66" s="1">
        <v>44323</v>
      </c>
      <c r="J66" s="2">
        <v>3.5062500000000001</v>
      </c>
      <c r="K66" t="s">
        <v>20</v>
      </c>
      <c r="L66" s="3">
        <v>9</v>
      </c>
      <c r="M66" s="3">
        <v>100</v>
      </c>
      <c r="N66" s="3">
        <v>21</v>
      </c>
      <c r="O66" t="s">
        <v>21</v>
      </c>
    </row>
    <row r="67" spans="1:15" x14ac:dyDescent="0.2">
      <c r="A67" t="s">
        <v>299</v>
      </c>
      <c r="B67" t="s">
        <v>300</v>
      </c>
      <c r="C67" t="s">
        <v>84</v>
      </c>
      <c r="D67" t="s">
        <v>126</v>
      </c>
      <c r="E67" s="3">
        <v>2017</v>
      </c>
      <c r="G67" t="s">
        <v>301</v>
      </c>
      <c r="H67">
        <v>9781509858620</v>
      </c>
      <c r="I67" s="1">
        <v>44998</v>
      </c>
      <c r="J67" s="2">
        <v>5.46458333333333</v>
      </c>
      <c r="K67" t="s">
        <v>20</v>
      </c>
      <c r="L67" s="3">
        <v>6</v>
      </c>
      <c r="M67" s="3">
        <v>98</v>
      </c>
      <c r="N67" s="3">
        <v>11</v>
      </c>
      <c r="O67" t="s">
        <v>34</v>
      </c>
    </row>
    <row r="68" spans="1:15" x14ac:dyDescent="0.2">
      <c r="A68" t="s">
        <v>50</v>
      </c>
      <c r="B68" t="s">
        <v>51</v>
      </c>
      <c r="C68" t="s">
        <v>37</v>
      </c>
      <c r="D68" t="s">
        <v>52</v>
      </c>
      <c r="E68" s="3">
        <v>2018</v>
      </c>
      <c r="G68" t="s">
        <v>53</v>
      </c>
      <c r="H68"/>
      <c r="I68" s="1">
        <v>44417</v>
      </c>
      <c r="J68" s="2">
        <v>0.67291666666666705</v>
      </c>
      <c r="K68" t="s">
        <v>20</v>
      </c>
      <c r="L68" s="3">
        <v>6</v>
      </c>
      <c r="M68" s="3">
        <v>100</v>
      </c>
      <c r="N68" s="3">
        <v>21</v>
      </c>
      <c r="O68" t="s">
        <v>21</v>
      </c>
    </row>
    <row r="69" spans="1:15" x14ac:dyDescent="0.2">
      <c r="A69" t="s">
        <v>50</v>
      </c>
      <c r="B69" t="s">
        <v>51</v>
      </c>
      <c r="C69" t="s">
        <v>37</v>
      </c>
      <c r="D69" t="s">
        <v>52</v>
      </c>
      <c r="E69" s="3">
        <v>2018</v>
      </c>
      <c r="G69" t="s">
        <v>53</v>
      </c>
      <c r="H69"/>
      <c r="I69" s="1">
        <v>44310</v>
      </c>
      <c r="J69" s="2">
        <v>0.71458333333333302</v>
      </c>
      <c r="K69" t="s">
        <v>20</v>
      </c>
      <c r="L69" s="3">
        <v>6</v>
      </c>
      <c r="M69" s="3">
        <v>12</v>
      </c>
      <c r="N69" s="3">
        <v>21</v>
      </c>
      <c r="O69" t="s">
        <v>21</v>
      </c>
    </row>
    <row r="70" spans="1:15" x14ac:dyDescent="0.2">
      <c r="A70" t="s">
        <v>264</v>
      </c>
      <c r="B70" t="s">
        <v>265</v>
      </c>
      <c r="C70" t="s">
        <v>17</v>
      </c>
      <c r="D70" t="s">
        <v>333</v>
      </c>
      <c r="E70" s="3">
        <v>2018</v>
      </c>
      <c r="G70" t="s">
        <v>266</v>
      </c>
      <c r="H70">
        <v>9781509846887</v>
      </c>
      <c r="I70" s="1">
        <v>44502</v>
      </c>
      <c r="J70" s="2">
        <v>4.7562499999999996</v>
      </c>
      <c r="K70" t="s">
        <v>20</v>
      </c>
      <c r="L70" s="3">
        <v>6</v>
      </c>
      <c r="M70" s="3">
        <v>100</v>
      </c>
      <c r="N70" s="3">
        <v>21</v>
      </c>
      <c r="O70" t="s">
        <v>21</v>
      </c>
    </row>
    <row r="71" spans="1:15" x14ac:dyDescent="0.2">
      <c r="A71" t="s">
        <v>218</v>
      </c>
      <c r="B71" t="s">
        <v>219</v>
      </c>
      <c r="C71" t="s">
        <v>132</v>
      </c>
      <c r="D71" t="s">
        <v>220</v>
      </c>
      <c r="E71" s="3">
        <v>2019</v>
      </c>
      <c r="G71" t="s">
        <v>221</v>
      </c>
      <c r="H71" t="s">
        <v>222</v>
      </c>
      <c r="I71" s="1">
        <v>44348</v>
      </c>
      <c r="J71" s="2">
        <v>3.6312500000000001</v>
      </c>
      <c r="K71" t="s">
        <v>20</v>
      </c>
      <c r="L71" s="3">
        <v>18</v>
      </c>
      <c r="M71" s="3">
        <v>100</v>
      </c>
      <c r="N71" s="3">
        <v>21</v>
      </c>
      <c r="O71" t="s">
        <v>21</v>
      </c>
    </row>
    <row r="72" spans="1:15" x14ac:dyDescent="0.2">
      <c r="A72" t="s">
        <v>249</v>
      </c>
      <c r="B72" t="s">
        <v>70</v>
      </c>
      <c r="C72" t="s">
        <v>17</v>
      </c>
      <c r="D72" t="s">
        <v>29</v>
      </c>
      <c r="E72" s="3">
        <v>2019</v>
      </c>
      <c r="F72" s="3">
        <v>4.5</v>
      </c>
      <c r="G72" t="s">
        <v>93</v>
      </c>
      <c r="H72">
        <v>9780241395028</v>
      </c>
      <c r="I72" s="1">
        <v>45101</v>
      </c>
      <c r="J72" s="2">
        <v>4.2979166666666702</v>
      </c>
      <c r="K72" t="s">
        <v>20</v>
      </c>
      <c r="L72" s="3">
        <v>5</v>
      </c>
      <c r="M72" s="3">
        <v>95</v>
      </c>
      <c r="N72" s="3">
        <v>21</v>
      </c>
      <c r="O72" t="s">
        <v>34</v>
      </c>
    </row>
    <row r="73" spans="1:15" x14ac:dyDescent="0.2">
      <c r="A73" t="s">
        <v>191</v>
      </c>
      <c r="B73" t="s">
        <v>192</v>
      </c>
      <c r="C73" t="s">
        <v>17</v>
      </c>
      <c r="D73" t="s">
        <v>44</v>
      </c>
      <c r="E73" s="3">
        <v>2020</v>
      </c>
      <c r="F73" s="3">
        <v>2</v>
      </c>
      <c r="G73" t="s">
        <v>158</v>
      </c>
      <c r="H73">
        <v>9781004010776</v>
      </c>
      <c r="I73" s="1">
        <v>45101</v>
      </c>
      <c r="J73" s="2">
        <v>3.0479166666666702</v>
      </c>
      <c r="K73" t="s">
        <v>20</v>
      </c>
      <c r="L73" s="3">
        <v>6</v>
      </c>
      <c r="M73" s="3">
        <v>96</v>
      </c>
      <c r="N73" s="3">
        <v>21</v>
      </c>
      <c r="O73" t="s">
        <v>34</v>
      </c>
    </row>
    <row r="74" spans="1:15" x14ac:dyDescent="0.2">
      <c r="A74" t="s">
        <v>223</v>
      </c>
      <c r="B74" t="s">
        <v>192</v>
      </c>
      <c r="C74" t="s">
        <v>17</v>
      </c>
      <c r="D74" t="s">
        <v>44</v>
      </c>
      <c r="E74" s="3">
        <v>2020</v>
      </c>
      <c r="F74" s="3">
        <v>3</v>
      </c>
      <c r="G74" t="s">
        <v>158</v>
      </c>
      <c r="H74">
        <v>9781004010738</v>
      </c>
      <c r="I74" s="1">
        <v>45101</v>
      </c>
      <c r="J74" s="2">
        <v>3.6729166666666702</v>
      </c>
      <c r="K74" t="s">
        <v>20</v>
      </c>
      <c r="L74" s="3">
        <v>7</v>
      </c>
      <c r="M74" s="3">
        <v>99</v>
      </c>
      <c r="N74" s="3">
        <v>21</v>
      </c>
      <c r="O74" t="s">
        <v>34</v>
      </c>
    </row>
    <row r="75" spans="1:15" x14ac:dyDescent="0.2">
      <c r="A75" t="s">
        <v>230</v>
      </c>
      <c r="B75" t="s">
        <v>192</v>
      </c>
      <c r="C75" t="s">
        <v>17</v>
      </c>
      <c r="D75" t="s">
        <v>44</v>
      </c>
      <c r="E75" s="3">
        <v>2020</v>
      </c>
      <c r="F75" s="3">
        <v>1</v>
      </c>
      <c r="G75" t="s">
        <v>158</v>
      </c>
      <c r="H75">
        <v>9781004010714</v>
      </c>
      <c r="I75" s="1">
        <v>45113</v>
      </c>
      <c r="J75" s="2">
        <v>3.7979166666666702</v>
      </c>
      <c r="K75" t="s">
        <v>20</v>
      </c>
      <c r="L75" s="3">
        <v>5</v>
      </c>
      <c r="M75" s="3">
        <v>100</v>
      </c>
      <c r="N75" s="3">
        <v>2</v>
      </c>
      <c r="O75" t="s">
        <v>34</v>
      </c>
    </row>
    <row r="76" spans="1:15" x14ac:dyDescent="0.2">
      <c r="A76" t="s">
        <v>291</v>
      </c>
      <c r="B76" t="s">
        <v>292</v>
      </c>
      <c r="C76" t="s">
        <v>17</v>
      </c>
      <c r="D76" t="s">
        <v>331</v>
      </c>
      <c r="E76" s="3">
        <v>2020</v>
      </c>
      <c r="G76" t="s">
        <v>293</v>
      </c>
      <c r="H76">
        <v>9781781103791</v>
      </c>
      <c r="I76" s="1">
        <v>45018</v>
      </c>
      <c r="J76" s="2">
        <v>5.2979166666666702</v>
      </c>
      <c r="K76" t="s">
        <v>20</v>
      </c>
      <c r="L76" s="3">
        <v>2</v>
      </c>
      <c r="M76" s="3">
        <v>0</v>
      </c>
      <c r="N76" s="3">
        <v>0</v>
      </c>
      <c r="O76" t="s">
        <v>34</v>
      </c>
    </row>
    <row r="77" spans="1:15" x14ac:dyDescent="0.2">
      <c r="A77" t="s">
        <v>82</v>
      </c>
      <c r="B77" t="s">
        <v>83</v>
      </c>
      <c r="C77" t="s">
        <v>84</v>
      </c>
      <c r="D77" t="s">
        <v>327</v>
      </c>
      <c r="E77" s="3">
        <v>2021</v>
      </c>
      <c r="G77" t="s">
        <v>33</v>
      </c>
      <c r="H77"/>
      <c r="I77" s="1">
        <v>44956</v>
      </c>
      <c r="J77" s="2">
        <v>1.1312500000000001</v>
      </c>
      <c r="K77" t="s">
        <v>20</v>
      </c>
      <c r="L77" s="3">
        <v>9</v>
      </c>
      <c r="M77" s="3">
        <v>10</v>
      </c>
      <c r="N77" s="3">
        <v>21</v>
      </c>
      <c r="O77" t="s">
        <v>34</v>
      </c>
    </row>
    <row r="78" spans="1:15" x14ac:dyDescent="0.2">
      <c r="A78" t="s">
        <v>160</v>
      </c>
      <c r="B78" t="s">
        <v>161</v>
      </c>
      <c r="C78" t="s">
        <v>37</v>
      </c>
      <c r="D78" t="s">
        <v>325</v>
      </c>
      <c r="E78" s="3">
        <v>2021</v>
      </c>
      <c r="G78" t="s">
        <v>158</v>
      </c>
      <c r="H78"/>
      <c r="I78" s="1">
        <v>45399</v>
      </c>
      <c r="J78" s="2">
        <v>2.58958333333333</v>
      </c>
      <c r="K78" t="s">
        <v>20</v>
      </c>
      <c r="L78" s="3">
        <v>10</v>
      </c>
      <c r="M78" s="3">
        <v>50</v>
      </c>
      <c r="N78" s="3">
        <v>13</v>
      </c>
      <c r="O78" t="s">
        <v>34</v>
      </c>
    </row>
    <row r="79" spans="1:15" x14ac:dyDescent="0.2">
      <c r="A79" t="s">
        <v>175</v>
      </c>
      <c r="B79" t="s">
        <v>176</v>
      </c>
      <c r="C79" t="s">
        <v>132</v>
      </c>
      <c r="D79" t="s">
        <v>177</v>
      </c>
      <c r="E79" s="3">
        <v>2021</v>
      </c>
      <c r="G79" t="s">
        <v>53</v>
      </c>
      <c r="H79"/>
      <c r="I79" s="1">
        <v>44775</v>
      </c>
      <c r="J79" s="2">
        <v>2.7979166666666702</v>
      </c>
      <c r="K79" t="s">
        <v>20</v>
      </c>
      <c r="L79" s="3">
        <v>7</v>
      </c>
      <c r="M79" s="3">
        <v>100</v>
      </c>
      <c r="N79" s="3">
        <v>21</v>
      </c>
      <c r="O79" t="s">
        <v>21</v>
      </c>
    </row>
    <row r="80" spans="1:15" x14ac:dyDescent="0.2">
      <c r="A80" t="s">
        <v>196</v>
      </c>
      <c r="B80" t="s">
        <v>197</v>
      </c>
      <c r="C80" t="s">
        <v>17</v>
      </c>
      <c r="D80" t="s">
        <v>198</v>
      </c>
      <c r="E80" s="3">
        <v>2021</v>
      </c>
      <c r="F80" s="3">
        <v>1</v>
      </c>
      <c r="G80" t="s">
        <v>199</v>
      </c>
      <c r="H80"/>
      <c r="I80" s="1">
        <v>44641</v>
      </c>
      <c r="J80" s="2">
        <v>3.33958333333333</v>
      </c>
      <c r="K80" t="s">
        <v>20</v>
      </c>
      <c r="L80" s="3">
        <v>16</v>
      </c>
      <c r="M80" s="3">
        <v>100</v>
      </c>
      <c r="N80" s="3">
        <v>21</v>
      </c>
      <c r="O80" t="s">
        <v>21</v>
      </c>
    </row>
    <row r="81" spans="1:15" x14ac:dyDescent="0.2">
      <c r="A81" t="s">
        <v>224</v>
      </c>
      <c r="B81" t="s">
        <v>225</v>
      </c>
      <c r="C81" t="s">
        <v>132</v>
      </c>
      <c r="D81" t="s">
        <v>226</v>
      </c>
      <c r="E81" s="3">
        <v>2021</v>
      </c>
      <c r="G81" t="s">
        <v>227</v>
      </c>
      <c r="H81"/>
      <c r="I81" s="1">
        <v>44744</v>
      </c>
      <c r="J81" s="2">
        <v>3.71458333333333</v>
      </c>
      <c r="K81" t="s">
        <v>20</v>
      </c>
      <c r="L81" s="3">
        <v>2</v>
      </c>
      <c r="M81" s="3">
        <v>100</v>
      </c>
      <c r="N81" s="3">
        <v>21</v>
      </c>
      <c r="O81" t="s">
        <v>21</v>
      </c>
    </row>
    <row r="82" spans="1:15" x14ac:dyDescent="0.2">
      <c r="A82" t="s">
        <v>54</v>
      </c>
      <c r="B82" t="s">
        <v>55</v>
      </c>
      <c r="C82" t="s">
        <v>56</v>
      </c>
      <c r="D82" t="s">
        <v>29</v>
      </c>
      <c r="E82" s="3">
        <v>2022</v>
      </c>
      <c r="G82" t="s">
        <v>57</v>
      </c>
      <c r="H82"/>
      <c r="I82" s="1">
        <v>44947</v>
      </c>
      <c r="J82" s="2">
        <v>0.75624999999999998</v>
      </c>
      <c r="K82" t="s">
        <v>20</v>
      </c>
      <c r="L82" s="3">
        <v>22</v>
      </c>
      <c r="M82" s="3">
        <v>59</v>
      </c>
      <c r="N82" s="3">
        <v>15</v>
      </c>
      <c r="O82" t="s">
        <v>34</v>
      </c>
    </row>
    <row r="83" spans="1:15" x14ac:dyDescent="0.2">
      <c r="A83" t="s">
        <v>127</v>
      </c>
      <c r="B83" t="s">
        <v>128</v>
      </c>
      <c r="C83" t="s">
        <v>17</v>
      </c>
      <c r="D83" t="s">
        <v>129</v>
      </c>
      <c r="E83" s="3">
        <v>2022</v>
      </c>
      <c r="G83" t="s">
        <v>38</v>
      </c>
      <c r="H83"/>
      <c r="I83" s="1">
        <v>45330</v>
      </c>
      <c r="J83" s="2">
        <v>1.96458333333333</v>
      </c>
      <c r="K83" t="s">
        <v>20</v>
      </c>
      <c r="L83" s="3">
        <v>13</v>
      </c>
      <c r="M83" s="3">
        <v>93</v>
      </c>
      <c r="N83" s="3">
        <v>20</v>
      </c>
      <c r="O83" t="s">
        <v>21</v>
      </c>
    </row>
    <row r="84" spans="1:15" x14ac:dyDescent="0.2">
      <c r="A84" t="s">
        <v>124</v>
      </c>
      <c r="B84" t="s">
        <v>125</v>
      </c>
      <c r="C84" t="s">
        <v>84</v>
      </c>
      <c r="D84" t="s">
        <v>126</v>
      </c>
      <c r="E84" s="3">
        <v>2022</v>
      </c>
      <c r="G84" t="s">
        <v>38</v>
      </c>
      <c r="H84"/>
      <c r="I84" s="1">
        <v>44786</v>
      </c>
      <c r="J84" s="2">
        <v>1.9229166666666699</v>
      </c>
      <c r="K84" t="s">
        <v>20</v>
      </c>
      <c r="L84" s="3">
        <v>7</v>
      </c>
      <c r="M84" s="3">
        <v>100</v>
      </c>
      <c r="N84" s="3">
        <v>21</v>
      </c>
      <c r="O84" t="s">
        <v>21</v>
      </c>
    </row>
    <row r="85" spans="1:15" x14ac:dyDescent="0.2">
      <c r="A85" t="s">
        <v>168</v>
      </c>
      <c r="B85" t="s">
        <v>169</v>
      </c>
      <c r="C85" t="s">
        <v>17</v>
      </c>
      <c r="D85" t="s">
        <v>170</v>
      </c>
      <c r="E85" s="3">
        <v>2022</v>
      </c>
      <c r="G85" t="s">
        <v>171</v>
      </c>
      <c r="H85">
        <v>9781666626063</v>
      </c>
      <c r="I85" s="1">
        <v>45725</v>
      </c>
      <c r="J85" s="2">
        <v>2.71458333333333</v>
      </c>
      <c r="K85" t="s">
        <v>20</v>
      </c>
      <c r="L85" s="3">
        <v>7</v>
      </c>
      <c r="M85" s="3">
        <v>30</v>
      </c>
      <c r="N85" s="3">
        <v>10</v>
      </c>
      <c r="O85" t="s">
        <v>21</v>
      </c>
    </row>
    <row r="86" spans="1:15" x14ac:dyDescent="0.2">
      <c r="A86" t="s">
        <v>287</v>
      </c>
      <c r="B86" t="s">
        <v>288</v>
      </c>
      <c r="C86" t="s">
        <v>132</v>
      </c>
      <c r="D86" t="s">
        <v>151</v>
      </c>
      <c r="E86" s="3">
        <v>2022</v>
      </c>
      <c r="G86" t="s">
        <v>289</v>
      </c>
      <c r="H86">
        <v>9781529162628</v>
      </c>
      <c r="I86" s="1">
        <v>44714</v>
      </c>
      <c r="J86" s="2">
        <v>5.1729166666666702</v>
      </c>
      <c r="K86" t="s">
        <v>20</v>
      </c>
      <c r="L86" s="3">
        <v>15</v>
      </c>
      <c r="M86" s="3">
        <v>100</v>
      </c>
      <c r="N86" s="3">
        <v>21</v>
      </c>
      <c r="O86" t="s">
        <v>21</v>
      </c>
    </row>
    <row r="87" spans="1:15" x14ac:dyDescent="0.2">
      <c r="A87" t="s">
        <v>302</v>
      </c>
      <c r="B87" t="s">
        <v>303</v>
      </c>
      <c r="C87" t="s">
        <v>37</v>
      </c>
      <c r="D87" t="s">
        <v>304</v>
      </c>
      <c r="E87" s="3">
        <v>2022</v>
      </c>
      <c r="G87" t="s">
        <v>174</v>
      </c>
      <c r="H87"/>
      <c r="I87" s="1">
        <v>45211</v>
      </c>
      <c r="J87" s="2">
        <v>5.5062499999999996</v>
      </c>
      <c r="K87" t="s">
        <v>20</v>
      </c>
      <c r="L87" s="3">
        <v>8</v>
      </c>
      <c r="M87" s="3">
        <v>82</v>
      </c>
      <c r="N87" s="3">
        <v>19</v>
      </c>
      <c r="O87" t="s">
        <v>34</v>
      </c>
    </row>
    <row r="88" spans="1:15" x14ac:dyDescent="0.2">
      <c r="A88" t="s">
        <v>42</v>
      </c>
      <c r="B88" t="s">
        <v>43</v>
      </c>
      <c r="C88" t="s">
        <v>17</v>
      </c>
      <c r="D88" t="s">
        <v>44</v>
      </c>
      <c r="E88" s="3">
        <v>2023</v>
      </c>
      <c r="F88" s="3">
        <v>2</v>
      </c>
      <c r="G88" t="s">
        <v>45</v>
      </c>
      <c r="H88">
        <v>9788728500798</v>
      </c>
      <c r="I88" s="1">
        <v>45301</v>
      </c>
      <c r="J88" s="2">
        <v>0.58958333333333302</v>
      </c>
      <c r="K88" t="s">
        <v>20</v>
      </c>
      <c r="L88" s="3">
        <v>9</v>
      </c>
      <c r="M88" s="3">
        <v>99</v>
      </c>
      <c r="N88" s="3">
        <v>13</v>
      </c>
      <c r="O88" t="s">
        <v>34</v>
      </c>
    </row>
    <row r="89" spans="1:15" x14ac:dyDescent="0.2">
      <c r="A89" t="s">
        <v>107</v>
      </c>
      <c r="B89" t="s">
        <v>108</v>
      </c>
      <c r="C89" t="s">
        <v>17</v>
      </c>
      <c r="D89" t="s">
        <v>330</v>
      </c>
      <c r="E89" s="3">
        <v>2023</v>
      </c>
      <c r="F89" s="3">
        <v>1</v>
      </c>
      <c r="G89" t="s">
        <v>19</v>
      </c>
      <c r="H89"/>
      <c r="I89" s="1">
        <v>45359</v>
      </c>
      <c r="J89" s="2">
        <v>1.6312500000000001</v>
      </c>
      <c r="K89" t="s">
        <v>20</v>
      </c>
      <c r="L89" s="3">
        <v>22</v>
      </c>
      <c r="M89" s="3">
        <v>100</v>
      </c>
      <c r="N89" s="3">
        <v>21</v>
      </c>
      <c r="O89" t="s">
        <v>21</v>
      </c>
    </row>
    <row r="90" spans="1:15" x14ac:dyDescent="0.2">
      <c r="A90" t="s">
        <v>130</v>
      </c>
      <c r="B90" t="s">
        <v>131</v>
      </c>
      <c r="C90" t="s">
        <v>132</v>
      </c>
      <c r="D90" t="s">
        <v>133</v>
      </c>
      <c r="E90" s="3">
        <v>2023</v>
      </c>
      <c r="H90"/>
      <c r="I90" s="1">
        <v>45262</v>
      </c>
      <c r="J90" s="2">
        <v>2.0062500000000001</v>
      </c>
      <c r="K90" t="s">
        <v>20</v>
      </c>
      <c r="L90" s="3">
        <v>8</v>
      </c>
      <c r="M90" s="3">
        <v>100</v>
      </c>
      <c r="N90" s="3">
        <v>21</v>
      </c>
      <c r="O90" t="s">
        <v>21</v>
      </c>
    </row>
    <row r="91" spans="1:15" x14ac:dyDescent="0.2">
      <c r="A91" t="s">
        <v>159</v>
      </c>
      <c r="B91" t="s">
        <v>70</v>
      </c>
      <c r="C91" t="s">
        <v>17</v>
      </c>
      <c r="D91" t="s">
        <v>29</v>
      </c>
      <c r="E91" s="3">
        <v>2023</v>
      </c>
      <c r="F91" s="3">
        <v>5</v>
      </c>
      <c r="G91" t="s">
        <v>93</v>
      </c>
      <c r="H91">
        <v>9780241651742</v>
      </c>
      <c r="I91" s="1">
        <v>45455</v>
      </c>
      <c r="J91" s="2">
        <v>2.5479166666666702</v>
      </c>
      <c r="K91" t="s">
        <v>20</v>
      </c>
      <c r="L91" s="3">
        <v>25</v>
      </c>
      <c r="M91" s="3">
        <v>87</v>
      </c>
      <c r="N91" s="3">
        <v>21</v>
      </c>
      <c r="O91" t="s">
        <v>34</v>
      </c>
    </row>
    <row r="92" spans="1:15" x14ac:dyDescent="0.2">
      <c r="A92" t="s">
        <v>172</v>
      </c>
      <c r="B92" t="s">
        <v>173</v>
      </c>
      <c r="C92" t="s">
        <v>37</v>
      </c>
      <c r="D92" t="s">
        <v>322</v>
      </c>
      <c r="E92" s="3">
        <v>2023</v>
      </c>
      <c r="G92" t="s">
        <v>174</v>
      </c>
      <c r="H92"/>
      <c r="I92" s="1">
        <v>45037</v>
      </c>
      <c r="J92" s="2">
        <v>2.7562500000000001</v>
      </c>
      <c r="K92" t="s">
        <v>20</v>
      </c>
      <c r="L92" s="3">
        <v>5</v>
      </c>
      <c r="M92" s="3">
        <v>56</v>
      </c>
      <c r="N92" s="3">
        <v>14</v>
      </c>
      <c r="O92" t="s">
        <v>34</v>
      </c>
    </row>
    <row r="93" spans="1:15" x14ac:dyDescent="0.2">
      <c r="A93" t="s">
        <v>178</v>
      </c>
      <c r="B93" t="s">
        <v>179</v>
      </c>
      <c r="C93" t="s">
        <v>132</v>
      </c>
      <c r="D93" t="s">
        <v>180</v>
      </c>
      <c r="E93" s="3">
        <v>2023</v>
      </c>
      <c r="H93"/>
      <c r="I93" s="1">
        <v>45201</v>
      </c>
      <c r="J93" s="2">
        <v>2.83958333333333</v>
      </c>
      <c r="K93" t="s">
        <v>20</v>
      </c>
      <c r="L93" s="3">
        <v>9</v>
      </c>
      <c r="M93" s="3">
        <v>100</v>
      </c>
      <c r="N93" s="3">
        <v>21</v>
      </c>
      <c r="O93" t="s">
        <v>21</v>
      </c>
    </row>
    <row r="94" spans="1:15" x14ac:dyDescent="0.2">
      <c r="A94" t="s">
        <v>182</v>
      </c>
      <c r="B94" t="s">
        <v>183</v>
      </c>
      <c r="C94" t="s">
        <v>132</v>
      </c>
      <c r="D94" t="s">
        <v>184</v>
      </c>
      <c r="E94" s="3">
        <v>2023</v>
      </c>
      <c r="G94" t="s">
        <v>185</v>
      </c>
      <c r="H94" t="s">
        <v>186</v>
      </c>
      <c r="I94" s="1">
        <v>45536</v>
      </c>
      <c r="J94" s="2">
        <v>2.9229166666666702</v>
      </c>
      <c r="K94" t="s">
        <v>20</v>
      </c>
      <c r="L94" s="3">
        <v>5</v>
      </c>
      <c r="M94" s="3">
        <v>100</v>
      </c>
      <c r="N94" s="3">
        <v>21</v>
      </c>
      <c r="O94" t="s">
        <v>21</v>
      </c>
    </row>
    <row r="95" spans="1:15" x14ac:dyDescent="0.2">
      <c r="A95" t="s">
        <v>200</v>
      </c>
      <c r="B95" t="s">
        <v>201</v>
      </c>
      <c r="C95" t="s">
        <v>132</v>
      </c>
      <c r="D95" t="s">
        <v>202</v>
      </c>
      <c r="E95" s="3">
        <v>2023</v>
      </c>
      <c r="G95" t="s">
        <v>203</v>
      </c>
      <c r="H95" t="s">
        <v>204</v>
      </c>
      <c r="I95" s="1">
        <v>45200</v>
      </c>
      <c r="J95" s="2">
        <v>3.3812500000000001</v>
      </c>
      <c r="K95" t="s">
        <v>20</v>
      </c>
      <c r="L95" s="3">
        <v>9</v>
      </c>
      <c r="M95" s="3">
        <v>89</v>
      </c>
      <c r="N95" s="3">
        <v>20</v>
      </c>
      <c r="O95" t="s">
        <v>21</v>
      </c>
    </row>
    <row r="96" spans="1:15" x14ac:dyDescent="0.2">
      <c r="A96" t="s">
        <v>246</v>
      </c>
      <c r="B96" t="s">
        <v>243</v>
      </c>
      <c r="C96" t="s">
        <v>244</v>
      </c>
      <c r="D96" t="s">
        <v>334</v>
      </c>
      <c r="E96" s="3">
        <v>2023</v>
      </c>
      <c r="F96" s="3">
        <v>6</v>
      </c>
      <c r="G96" t="s">
        <v>93</v>
      </c>
      <c r="H96">
        <v>9780241651124</v>
      </c>
      <c r="I96" s="1">
        <v>45497</v>
      </c>
      <c r="J96" s="2">
        <v>4.21458333333333</v>
      </c>
      <c r="K96" t="s">
        <v>20</v>
      </c>
      <c r="L96" s="3">
        <v>7</v>
      </c>
      <c r="M96" s="3">
        <v>100</v>
      </c>
      <c r="N96" s="3">
        <v>21</v>
      </c>
      <c r="O96" t="s">
        <v>34</v>
      </c>
    </row>
    <row r="97" spans="1:15" x14ac:dyDescent="0.2">
      <c r="A97" t="s">
        <v>297</v>
      </c>
      <c r="B97" t="s">
        <v>298</v>
      </c>
      <c r="C97" t="s">
        <v>84</v>
      </c>
      <c r="D97" t="s">
        <v>126</v>
      </c>
      <c r="E97" s="3">
        <v>2023</v>
      </c>
      <c r="G97" t="s">
        <v>38</v>
      </c>
      <c r="H97">
        <v>9781668009048</v>
      </c>
      <c r="I97" s="1">
        <v>45224</v>
      </c>
      <c r="J97" s="2">
        <v>5.4229166666666702</v>
      </c>
      <c r="K97" t="s">
        <v>20</v>
      </c>
      <c r="L97" s="3">
        <v>6</v>
      </c>
      <c r="M97" s="3">
        <v>100</v>
      </c>
      <c r="N97" s="3">
        <v>21</v>
      </c>
      <c r="O97" t="s">
        <v>21</v>
      </c>
    </row>
    <row r="98" spans="1:15" x14ac:dyDescent="0.2">
      <c r="A98" t="s">
        <v>308</v>
      </c>
      <c r="B98" t="s">
        <v>169</v>
      </c>
      <c r="C98" t="s">
        <v>17</v>
      </c>
      <c r="D98" t="s">
        <v>170</v>
      </c>
      <c r="E98" s="3">
        <v>2023</v>
      </c>
      <c r="G98" t="s">
        <v>171</v>
      </c>
      <c r="H98">
        <v>9781666644227</v>
      </c>
      <c r="I98" s="1">
        <v>45744</v>
      </c>
      <c r="J98" s="2">
        <v>5.6312499999999996</v>
      </c>
      <c r="K98" t="s">
        <v>20</v>
      </c>
      <c r="L98" s="3">
        <v>7</v>
      </c>
      <c r="M98" s="3">
        <v>99</v>
      </c>
      <c r="N98" s="3">
        <v>21</v>
      </c>
      <c r="O98" t="s">
        <v>21</v>
      </c>
    </row>
    <row r="99" spans="1:15" x14ac:dyDescent="0.2">
      <c r="A99" t="s">
        <v>27</v>
      </c>
      <c r="B99" t="s">
        <v>28</v>
      </c>
      <c r="C99" t="s">
        <v>17</v>
      </c>
      <c r="D99" t="s">
        <v>29</v>
      </c>
      <c r="E99" s="3">
        <v>2024</v>
      </c>
      <c r="F99" s="3">
        <v>2</v>
      </c>
      <c r="G99" t="s">
        <v>30</v>
      </c>
      <c r="H99"/>
      <c r="I99" s="1">
        <v>45481</v>
      </c>
      <c r="J99" s="2">
        <v>0.38124999999999998</v>
      </c>
      <c r="K99" t="s">
        <v>20</v>
      </c>
      <c r="L99" s="3">
        <v>9</v>
      </c>
      <c r="M99" s="3">
        <v>100</v>
      </c>
      <c r="N99" s="3">
        <v>21</v>
      </c>
      <c r="O99" t="s">
        <v>21</v>
      </c>
    </row>
    <row r="100" spans="1:15" x14ac:dyDescent="0.2">
      <c r="A100" t="s">
        <v>99</v>
      </c>
      <c r="B100" t="s">
        <v>100</v>
      </c>
      <c r="C100" t="s">
        <v>101</v>
      </c>
      <c r="D100" t="s">
        <v>102</v>
      </c>
      <c r="E100" s="3">
        <v>2024</v>
      </c>
      <c r="G100" t="s">
        <v>103</v>
      </c>
      <c r="H100"/>
      <c r="I100" s="1">
        <v>45712</v>
      </c>
      <c r="J100" s="2">
        <v>1.5479166666666699</v>
      </c>
      <c r="K100" t="s">
        <v>20</v>
      </c>
      <c r="L100" s="3">
        <v>6</v>
      </c>
      <c r="M100" s="3">
        <v>30</v>
      </c>
      <c r="N100" s="3">
        <v>21</v>
      </c>
      <c r="O100" t="s">
        <v>34</v>
      </c>
    </row>
    <row r="101" spans="1:15" x14ac:dyDescent="0.2">
      <c r="A101" t="s">
        <v>109</v>
      </c>
      <c r="B101" t="s">
        <v>110</v>
      </c>
      <c r="C101" t="s">
        <v>84</v>
      </c>
      <c r="D101" t="s">
        <v>111</v>
      </c>
      <c r="E101" s="3">
        <v>2024</v>
      </c>
      <c r="G101" t="s">
        <v>49</v>
      </c>
      <c r="H101">
        <v>9780593733875</v>
      </c>
      <c r="I101" s="1">
        <v>45647</v>
      </c>
      <c r="J101" s="2">
        <v>1.6729166666666699</v>
      </c>
      <c r="K101" t="s">
        <v>20</v>
      </c>
      <c r="L101" s="3">
        <v>6</v>
      </c>
      <c r="M101" s="3">
        <v>100</v>
      </c>
      <c r="N101" s="3">
        <v>21</v>
      </c>
      <c r="O101" t="s">
        <v>21</v>
      </c>
    </row>
    <row r="102" spans="1:15" x14ac:dyDescent="0.2">
      <c r="A102" t="s">
        <v>112</v>
      </c>
      <c r="B102" t="s">
        <v>113</v>
      </c>
      <c r="C102" t="s">
        <v>17</v>
      </c>
      <c r="D102" t="s">
        <v>75</v>
      </c>
      <c r="E102" s="3">
        <v>2024</v>
      </c>
      <c r="G102" t="s">
        <v>30</v>
      </c>
      <c r="H102"/>
      <c r="I102" s="1">
        <v>45586</v>
      </c>
      <c r="J102" s="2">
        <v>1.71458333333333</v>
      </c>
      <c r="K102" t="s">
        <v>20</v>
      </c>
      <c r="L102" s="3">
        <v>4</v>
      </c>
      <c r="M102" s="3">
        <v>100</v>
      </c>
      <c r="N102" s="3">
        <v>21</v>
      </c>
      <c r="O102" t="s">
        <v>21</v>
      </c>
    </row>
    <row r="103" spans="1:15" x14ac:dyDescent="0.2">
      <c r="A103" t="s">
        <v>114</v>
      </c>
      <c r="B103" t="s">
        <v>115</v>
      </c>
      <c r="C103" t="s">
        <v>17</v>
      </c>
      <c r="D103" t="s">
        <v>116</v>
      </c>
      <c r="E103" s="3">
        <v>2024</v>
      </c>
      <c r="G103" t="s">
        <v>53</v>
      </c>
      <c r="H103"/>
      <c r="I103" s="1">
        <v>45557</v>
      </c>
      <c r="J103" s="2">
        <v>1.7562500000000001</v>
      </c>
      <c r="K103" t="s">
        <v>20</v>
      </c>
      <c r="L103" s="3">
        <v>6</v>
      </c>
      <c r="M103" s="3">
        <v>99</v>
      </c>
      <c r="N103" s="3">
        <v>21</v>
      </c>
      <c r="O103" t="s">
        <v>21</v>
      </c>
    </row>
    <row r="104" spans="1:15" x14ac:dyDescent="0.2">
      <c r="A104" t="s">
        <v>136</v>
      </c>
      <c r="B104" t="s">
        <v>137</v>
      </c>
      <c r="C104" t="s">
        <v>56</v>
      </c>
      <c r="D104" t="s">
        <v>338</v>
      </c>
      <c r="E104" s="3">
        <v>2024</v>
      </c>
      <c r="G104" t="s">
        <v>138</v>
      </c>
      <c r="H104">
        <v>9781035031252</v>
      </c>
      <c r="I104" s="1">
        <v>45537</v>
      </c>
      <c r="J104" s="2">
        <v>2.1729166666666702</v>
      </c>
      <c r="K104" t="s">
        <v>20</v>
      </c>
      <c r="L104" s="3">
        <v>8</v>
      </c>
      <c r="M104" s="3">
        <v>100</v>
      </c>
      <c r="N104" s="3">
        <v>21</v>
      </c>
      <c r="O104" t="s">
        <v>21</v>
      </c>
    </row>
    <row r="105" spans="1:15" x14ac:dyDescent="0.2">
      <c r="A105" t="s">
        <v>142</v>
      </c>
      <c r="B105" t="s">
        <v>143</v>
      </c>
      <c r="C105" t="s">
        <v>84</v>
      </c>
      <c r="D105" t="s">
        <v>144</v>
      </c>
      <c r="E105" s="3">
        <v>2024</v>
      </c>
      <c r="G105" t="s">
        <v>49</v>
      </c>
      <c r="H105">
        <v>9780593910696</v>
      </c>
      <c r="I105" s="1">
        <v>45556</v>
      </c>
      <c r="J105" s="2">
        <v>2.2562500000000001</v>
      </c>
      <c r="K105" t="s">
        <v>20</v>
      </c>
      <c r="L105" s="3">
        <v>7</v>
      </c>
      <c r="M105" s="3">
        <v>100</v>
      </c>
      <c r="N105" s="3">
        <v>21</v>
      </c>
      <c r="O105" t="s">
        <v>21</v>
      </c>
    </row>
    <row r="106" spans="1:15" x14ac:dyDescent="0.2">
      <c r="A106" t="s">
        <v>154</v>
      </c>
      <c r="B106" t="s">
        <v>155</v>
      </c>
      <c r="C106" t="s">
        <v>17</v>
      </c>
      <c r="D106" t="s">
        <v>156</v>
      </c>
      <c r="E106" s="3">
        <v>2024</v>
      </c>
      <c r="G106" t="s">
        <v>30</v>
      </c>
      <c r="H106"/>
      <c r="I106" s="1">
        <v>45634</v>
      </c>
      <c r="J106" s="2">
        <v>2.46458333333333</v>
      </c>
      <c r="K106" t="s">
        <v>20</v>
      </c>
      <c r="L106" s="3">
        <v>11</v>
      </c>
      <c r="M106" s="3">
        <v>100</v>
      </c>
      <c r="N106" s="3">
        <v>21</v>
      </c>
      <c r="O106" t="s">
        <v>21</v>
      </c>
    </row>
    <row r="107" spans="1:15" x14ac:dyDescent="0.2">
      <c r="A107" t="s">
        <v>215</v>
      </c>
      <c r="B107" t="s">
        <v>216</v>
      </c>
      <c r="C107" t="s">
        <v>17</v>
      </c>
      <c r="D107" t="s">
        <v>217</v>
      </c>
      <c r="E107" s="3">
        <v>2024</v>
      </c>
      <c r="H107"/>
      <c r="I107" s="1">
        <v>45343</v>
      </c>
      <c r="J107" s="2">
        <v>3.58958333333333</v>
      </c>
      <c r="K107" t="s">
        <v>20</v>
      </c>
      <c r="L107" s="3">
        <v>25</v>
      </c>
      <c r="M107" s="3">
        <v>100</v>
      </c>
      <c r="N107" s="3">
        <v>21</v>
      </c>
      <c r="O107" t="s">
        <v>21</v>
      </c>
    </row>
    <row r="108" spans="1:15" x14ac:dyDescent="0.2">
      <c r="A108" t="s">
        <v>228</v>
      </c>
      <c r="B108" t="s">
        <v>229</v>
      </c>
      <c r="C108" t="s">
        <v>17</v>
      </c>
      <c r="D108" t="s">
        <v>319</v>
      </c>
      <c r="E108" s="3">
        <v>2024</v>
      </c>
      <c r="G108" t="s">
        <v>158</v>
      </c>
      <c r="H108">
        <v>9781004170241</v>
      </c>
      <c r="I108" s="1">
        <v>45485</v>
      </c>
      <c r="J108" s="2">
        <v>3.7562500000000001</v>
      </c>
      <c r="K108" t="s">
        <v>20</v>
      </c>
      <c r="L108" s="3">
        <v>9</v>
      </c>
      <c r="M108" s="3">
        <v>98</v>
      </c>
      <c r="N108" s="3">
        <v>21</v>
      </c>
      <c r="O108" t="s">
        <v>34</v>
      </c>
    </row>
    <row r="109" spans="1:15" x14ac:dyDescent="0.2">
      <c r="A109" t="s">
        <v>237</v>
      </c>
      <c r="B109" t="s">
        <v>238</v>
      </c>
      <c r="C109" t="s">
        <v>37</v>
      </c>
      <c r="D109" t="s">
        <v>239</v>
      </c>
      <c r="E109" s="3">
        <v>2024</v>
      </c>
      <c r="G109" t="s">
        <v>53</v>
      </c>
      <c r="H109"/>
      <c r="I109" s="1">
        <v>45756</v>
      </c>
      <c r="J109" s="2">
        <v>4.0062499999999996</v>
      </c>
      <c r="K109" t="s">
        <v>20</v>
      </c>
      <c r="L109" s="3">
        <v>11</v>
      </c>
      <c r="M109" s="3">
        <v>100</v>
      </c>
      <c r="N109" s="3">
        <v>21</v>
      </c>
      <c r="O109" t="s">
        <v>21</v>
      </c>
    </row>
    <row r="110" spans="1:15" x14ac:dyDescent="0.2">
      <c r="A110" t="s">
        <v>245</v>
      </c>
      <c r="B110" t="s">
        <v>169</v>
      </c>
      <c r="C110" t="s">
        <v>17</v>
      </c>
      <c r="D110" t="s">
        <v>170</v>
      </c>
      <c r="E110" s="3">
        <v>2024</v>
      </c>
      <c r="G110" t="s">
        <v>171</v>
      </c>
      <c r="H110">
        <v>9781666665642</v>
      </c>
      <c r="I110" s="1">
        <v>45717</v>
      </c>
      <c r="J110" s="2">
        <v>4.1312499999999996</v>
      </c>
      <c r="K110" t="s">
        <v>20</v>
      </c>
      <c r="L110" s="3">
        <v>9</v>
      </c>
      <c r="M110" s="3">
        <v>44</v>
      </c>
      <c r="N110" s="3">
        <v>21</v>
      </c>
      <c r="O110" t="s">
        <v>34</v>
      </c>
    </row>
    <row r="111" spans="1:15" x14ac:dyDescent="0.2">
      <c r="A111" t="s">
        <v>245</v>
      </c>
      <c r="B111" t="s">
        <v>169</v>
      </c>
      <c r="C111" t="s">
        <v>17</v>
      </c>
      <c r="D111" t="s">
        <v>170</v>
      </c>
      <c r="E111" s="3">
        <v>2024</v>
      </c>
      <c r="G111" t="s">
        <v>171</v>
      </c>
      <c r="H111">
        <v>9781666665642</v>
      </c>
      <c r="I111" s="1">
        <v>45427</v>
      </c>
      <c r="J111" s="2">
        <v>4.1729166666666702</v>
      </c>
      <c r="K111" t="s">
        <v>20</v>
      </c>
      <c r="L111" s="3">
        <v>9</v>
      </c>
      <c r="M111" s="3">
        <v>100</v>
      </c>
      <c r="N111" s="3">
        <v>21</v>
      </c>
      <c r="O111" t="s">
        <v>34</v>
      </c>
    </row>
    <row r="112" spans="1:15" x14ac:dyDescent="0.2">
      <c r="A112" t="s">
        <v>261</v>
      </c>
      <c r="B112" t="s">
        <v>262</v>
      </c>
      <c r="C112" t="s">
        <v>84</v>
      </c>
      <c r="D112" t="s">
        <v>101</v>
      </c>
      <c r="E112" s="3">
        <v>2024</v>
      </c>
      <c r="G112" t="s">
        <v>57</v>
      </c>
      <c r="H112"/>
      <c r="I112" s="1">
        <v>45577</v>
      </c>
      <c r="J112" s="2">
        <v>4.6312499999999996</v>
      </c>
      <c r="K112" t="s">
        <v>20</v>
      </c>
      <c r="L112" s="3">
        <v>8</v>
      </c>
      <c r="M112" s="3">
        <v>22</v>
      </c>
      <c r="N112" s="3">
        <v>12</v>
      </c>
      <c r="O112" t="s">
        <v>34</v>
      </c>
    </row>
    <row r="113" spans="1:15" x14ac:dyDescent="0.2">
      <c r="A113" t="s">
        <v>267</v>
      </c>
      <c r="B113" t="s">
        <v>268</v>
      </c>
      <c r="C113" t="s">
        <v>132</v>
      </c>
      <c r="D113" t="s">
        <v>269</v>
      </c>
      <c r="E113" s="3">
        <v>2024</v>
      </c>
      <c r="F113" s="3">
        <v>1</v>
      </c>
      <c r="G113" t="s">
        <v>266</v>
      </c>
      <c r="H113">
        <v>9781035067152</v>
      </c>
      <c r="I113" s="1">
        <v>45567</v>
      </c>
      <c r="J113" s="2">
        <v>4.7979166666666702</v>
      </c>
      <c r="K113" t="s">
        <v>20</v>
      </c>
      <c r="L113" s="3">
        <v>13</v>
      </c>
      <c r="M113" s="3">
        <v>100</v>
      </c>
      <c r="N113" s="3">
        <v>21</v>
      </c>
      <c r="O113" t="s">
        <v>21</v>
      </c>
    </row>
    <row r="114" spans="1:15" x14ac:dyDescent="0.2">
      <c r="A114" t="s">
        <v>270</v>
      </c>
      <c r="B114" t="s">
        <v>271</v>
      </c>
      <c r="C114" t="s">
        <v>170</v>
      </c>
      <c r="D114" t="s">
        <v>272</v>
      </c>
      <c r="E114" s="3">
        <v>2024</v>
      </c>
      <c r="G114" t="s">
        <v>273</v>
      </c>
      <c r="H114">
        <v>9781761345722</v>
      </c>
      <c r="I114" s="1">
        <v>45536</v>
      </c>
      <c r="J114" s="2">
        <v>4.83958333333333</v>
      </c>
      <c r="K114" t="s">
        <v>20</v>
      </c>
      <c r="L114" s="3">
        <v>7</v>
      </c>
      <c r="M114" s="3">
        <v>100</v>
      </c>
      <c r="N114" s="3">
        <v>20</v>
      </c>
      <c r="O114" t="s">
        <v>34</v>
      </c>
    </row>
    <row r="115" spans="1:15" x14ac:dyDescent="0.2">
      <c r="A115" t="s">
        <v>274</v>
      </c>
      <c r="B115" t="s">
        <v>275</v>
      </c>
      <c r="C115" t="s">
        <v>17</v>
      </c>
      <c r="D115" t="s">
        <v>48</v>
      </c>
      <c r="E115" s="3">
        <v>2024</v>
      </c>
      <c r="G115" t="s">
        <v>276</v>
      </c>
      <c r="H115"/>
      <c r="I115" s="1">
        <v>45634</v>
      </c>
      <c r="J115" s="2">
        <v>4.8812499999999996</v>
      </c>
      <c r="K115" t="s">
        <v>20</v>
      </c>
      <c r="L115" s="3">
        <v>10</v>
      </c>
      <c r="M115" s="3">
        <v>100</v>
      </c>
      <c r="N115" s="3">
        <v>21</v>
      </c>
      <c r="O115" t="s">
        <v>21</v>
      </c>
    </row>
    <row r="116" spans="1:15" x14ac:dyDescent="0.2">
      <c r="A116" t="s">
        <v>295</v>
      </c>
      <c r="B116" t="s">
        <v>296</v>
      </c>
      <c r="C116" t="s">
        <v>37</v>
      </c>
      <c r="D116" t="s">
        <v>324</v>
      </c>
      <c r="E116" s="3">
        <v>2024</v>
      </c>
      <c r="H116"/>
      <c r="I116" s="1">
        <v>45617</v>
      </c>
      <c r="J116" s="2">
        <v>5.3812499999999996</v>
      </c>
      <c r="K116" t="s">
        <v>20</v>
      </c>
      <c r="L116" s="3">
        <v>13</v>
      </c>
      <c r="M116" s="3">
        <v>100</v>
      </c>
      <c r="N116" s="3">
        <v>21</v>
      </c>
      <c r="O116" t="s">
        <v>21</v>
      </c>
    </row>
    <row r="117" spans="1:15" x14ac:dyDescent="0.2">
      <c r="A117" t="s">
        <v>309</v>
      </c>
      <c r="B117" t="s">
        <v>310</v>
      </c>
      <c r="C117" t="s">
        <v>180</v>
      </c>
      <c r="D117" t="s">
        <v>332</v>
      </c>
      <c r="E117" s="3">
        <v>2024</v>
      </c>
      <c r="G117" t="s">
        <v>266</v>
      </c>
      <c r="H117"/>
      <c r="I117" s="1">
        <v>45324</v>
      </c>
      <c r="J117" s="2">
        <v>5.6729166666666702</v>
      </c>
      <c r="K117" t="s">
        <v>20</v>
      </c>
      <c r="L117" s="3">
        <v>5</v>
      </c>
      <c r="M117" s="3">
        <v>100</v>
      </c>
      <c r="N117" s="3">
        <v>21</v>
      </c>
      <c r="O117" t="s">
        <v>21</v>
      </c>
    </row>
    <row r="118" spans="1:15" x14ac:dyDescent="0.2">
      <c r="A118" t="s">
        <v>313</v>
      </c>
      <c r="B118" t="s">
        <v>314</v>
      </c>
      <c r="C118" t="s">
        <v>84</v>
      </c>
      <c r="D118" t="s">
        <v>315</v>
      </c>
      <c r="E118" s="3">
        <v>2024</v>
      </c>
      <c r="G118" t="s">
        <v>49</v>
      </c>
      <c r="H118"/>
      <c r="I118" s="1">
        <v>45525</v>
      </c>
      <c r="J118" s="2">
        <v>5.7979166666666702</v>
      </c>
      <c r="K118" t="s">
        <v>20</v>
      </c>
      <c r="L118" s="3">
        <v>6</v>
      </c>
      <c r="M118" s="3">
        <v>99</v>
      </c>
      <c r="N118" s="3">
        <v>21</v>
      </c>
      <c r="O118" t="s">
        <v>21</v>
      </c>
    </row>
    <row r="119" spans="1:15" x14ac:dyDescent="0.2">
      <c r="A119" t="s">
        <v>154</v>
      </c>
      <c r="B119" t="s">
        <v>155</v>
      </c>
      <c r="C119" t="s">
        <v>17</v>
      </c>
      <c r="D119" t="s">
        <v>156</v>
      </c>
      <c r="E119" s="3">
        <v>2024</v>
      </c>
      <c r="G119" t="s">
        <v>30</v>
      </c>
      <c r="H119"/>
      <c r="I119" s="1">
        <v>45634</v>
      </c>
      <c r="J119" s="2">
        <v>2.46458333333333</v>
      </c>
      <c r="K119" t="s">
        <v>20</v>
      </c>
      <c r="L119" s="3">
        <v>11</v>
      </c>
      <c r="M119" s="3">
        <v>100</v>
      </c>
      <c r="N119" s="3">
        <v>21</v>
      </c>
      <c r="O119" t="s">
        <v>21</v>
      </c>
    </row>
    <row r="120" spans="1:15" x14ac:dyDescent="0.2">
      <c r="A120" t="s">
        <v>35</v>
      </c>
      <c r="B120" t="s">
        <v>36</v>
      </c>
      <c r="C120" t="s">
        <v>37</v>
      </c>
      <c r="D120" t="s">
        <v>329</v>
      </c>
      <c r="E120" s="3">
        <v>2025</v>
      </c>
      <c r="G120" t="s">
        <v>38</v>
      </c>
      <c r="H120"/>
      <c r="I120" s="1">
        <v>45725</v>
      </c>
      <c r="J120" s="2">
        <v>0.46458333333333302</v>
      </c>
      <c r="K120" t="s">
        <v>20</v>
      </c>
      <c r="L120" s="3">
        <v>7</v>
      </c>
      <c r="M120" s="3">
        <v>100</v>
      </c>
      <c r="N120" s="3">
        <v>21</v>
      </c>
      <c r="O120" t="s">
        <v>21</v>
      </c>
    </row>
    <row r="121" spans="1:15" x14ac:dyDescent="0.2">
      <c r="A121" t="s">
        <v>46</v>
      </c>
      <c r="B121" t="s">
        <v>47</v>
      </c>
      <c r="C121" t="s">
        <v>17</v>
      </c>
      <c r="D121" t="s">
        <v>48</v>
      </c>
      <c r="E121" s="3">
        <v>2025</v>
      </c>
      <c r="G121" t="s">
        <v>49</v>
      </c>
      <c r="H121"/>
      <c r="I121" s="1">
        <v>45821</v>
      </c>
      <c r="J121" s="2">
        <v>0.63124999999999998</v>
      </c>
      <c r="K121" t="s">
        <v>20</v>
      </c>
      <c r="L121" s="3">
        <v>10</v>
      </c>
      <c r="M121" s="3">
        <v>100</v>
      </c>
      <c r="N121" s="3">
        <v>21</v>
      </c>
      <c r="O121" t="s">
        <v>21</v>
      </c>
    </row>
    <row r="122" spans="1:15" x14ac:dyDescent="0.2">
      <c r="A122" t="s">
        <v>61</v>
      </c>
      <c r="B122" t="s">
        <v>62</v>
      </c>
      <c r="C122" t="s">
        <v>37</v>
      </c>
      <c r="D122" t="s">
        <v>321</v>
      </c>
      <c r="E122" s="3">
        <v>2025</v>
      </c>
      <c r="G122" t="s">
        <v>63</v>
      </c>
      <c r="H122"/>
      <c r="I122" s="1">
        <v>45784</v>
      </c>
      <c r="J122" s="2">
        <v>0.83958333333333302</v>
      </c>
      <c r="K122" t="s">
        <v>20</v>
      </c>
      <c r="L122" s="3">
        <v>7</v>
      </c>
      <c r="M122" s="3">
        <v>100</v>
      </c>
      <c r="N122" s="3">
        <v>21</v>
      </c>
      <c r="O122" t="s">
        <v>21</v>
      </c>
    </row>
    <row r="123" spans="1:15" x14ac:dyDescent="0.2">
      <c r="A123" t="s">
        <v>94</v>
      </c>
      <c r="B123" t="s">
        <v>95</v>
      </c>
      <c r="C123" t="s">
        <v>37</v>
      </c>
      <c r="D123" t="s">
        <v>96</v>
      </c>
      <c r="E123" s="3">
        <v>2025</v>
      </c>
      <c r="G123" t="s">
        <v>97</v>
      </c>
      <c r="H123"/>
      <c r="I123" s="1">
        <v>45768</v>
      </c>
      <c r="J123" s="2">
        <v>1.33958333333333</v>
      </c>
      <c r="K123" t="s">
        <v>20</v>
      </c>
      <c r="L123" s="3">
        <v>3</v>
      </c>
      <c r="M123" s="3">
        <v>100</v>
      </c>
      <c r="N123" s="3">
        <v>20</v>
      </c>
      <c r="O123" t="s">
        <v>34</v>
      </c>
    </row>
    <row r="124" spans="1:15" x14ac:dyDescent="0.2">
      <c r="A124" t="s">
        <v>104</v>
      </c>
      <c r="B124" t="s">
        <v>105</v>
      </c>
      <c r="C124" t="s">
        <v>37</v>
      </c>
      <c r="D124" t="s">
        <v>328</v>
      </c>
      <c r="E124" s="3">
        <v>2025</v>
      </c>
      <c r="G124" t="s">
        <v>106</v>
      </c>
      <c r="H124"/>
      <c r="I124" s="1">
        <v>45789</v>
      </c>
      <c r="J124" s="2">
        <v>1.58958333333333</v>
      </c>
      <c r="K124" t="s">
        <v>20</v>
      </c>
      <c r="L124" s="3">
        <v>6</v>
      </c>
      <c r="M124" s="3">
        <v>99</v>
      </c>
      <c r="N124" s="3">
        <v>21</v>
      </c>
      <c r="O124" t="s">
        <v>34</v>
      </c>
    </row>
    <row r="125" spans="1:15" x14ac:dyDescent="0.2">
      <c r="A125" t="s">
        <v>118</v>
      </c>
      <c r="B125" t="s">
        <v>119</v>
      </c>
      <c r="C125" t="s">
        <v>37</v>
      </c>
      <c r="D125" t="s">
        <v>120</v>
      </c>
      <c r="E125" s="3">
        <v>2025</v>
      </c>
      <c r="G125" t="s">
        <v>38</v>
      </c>
      <c r="H125"/>
      <c r="I125" s="1">
        <v>45817</v>
      </c>
      <c r="J125" s="2">
        <v>1.83958333333333</v>
      </c>
      <c r="K125" t="s">
        <v>20</v>
      </c>
      <c r="L125" s="3">
        <v>10</v>
      </c>
      <c r="M125" s="3">
        <v>100</v>
      </c>
      <c r="N125" s="3">
        <v>21</v>
      </c>
      <c r="O125" t="s">
        <v>21</v>
      </c>
    </row>
    <row r="126" spans="1:15" x14ac:dyDescent="0.2">
      <c r="A126" t="s">
        <v>121</v>
      </c>
      <c r="B126" t="s">
        <v>122</v>
      </c>
      <c r="C126" t="s">
        <v>37</v>
      </c>
      <c r="D126" t="s">
        <v>326</v>
      </c>
      <c r="E126" s="3">
        <v>2025</v>
      </c>
      <c r="G126" t="s">
        <v>123</v>
      </c>
      <c r="H126"/>
      <c r="I126" s="1">
        <v>45678</v>
      </c>
      <c r="J126" s="2">
        <v>1.8812500000000001</v>
      </c>
      <c r="K126" t="s">
        <v>20</v>
      </c>
      <c r="L126" s="3">
        <v>6</v>
      </c>
      <c r="M126" s="3">
        <v>100</v>
      </c>
      <c r="N126" s="3">
        <v>21</v>
      </c>
      <c r="O126" t="s">
        <v>34</v>
      </c>
    </row>
    <row r="127" spans="1:15" x14ac:dyDescent="0.2">
      <c r="A127" t="s">
        <v>166</v>
      </c>
      <c r="B127" t="s">
        <v>167</v>
      </c>
      <c r="C127" t="s">
        <v>17</v>
      </c>
      <c r="D127" t="s">
        <v>90</v>
      </c>
      <c r="E127" s="3">
        <v>2025</v>
      </c>
      <c r="G127" t="s">
        <v>38</v>
      </c>
      <c r="H127"/>
      <c r="I127" s="1">
        <v>45786</v>
      </c>
      <c r="J127" s="2">
        <v>2.6729166666666702</v>
      </c>
      <c r="K127" t="s">
        <v>20</v>
      </c>
      <c r="L127" s="3">
        <v>15</v>
      </c>
      <c r="M127" s="3">
        <v>20</v>
      </c>
      <c r="N127" s="3">
        <v>21</v>
      </c>
      <c r="O127" t="s">
        <v>21</v>
      </c>
    </row>
    <row r="128" spans="1:15" x14ac:dyDescent="0.2">
      <c r="A128" t="s">
        <v>181</v>
      </c>
      <c r="B128" t="s">
        <v>108</v>
      </c>
      <c r="C128" t="s">
        <v>17</v>
      </c>
      <c r="D128" t="s">
        <v>18</v>
      </c>
      <c r="E128" s="3">
        <v>2025</v>
      </c>
      <c r="F128" s="3">
        <v>3</v>
      </c>
      <c r="G128" t="s">
        <v>19</v>
      </c>
      <c r="H128"/>
      <c r="I128" s="1">
        <v>45760</v>
      </c>
      <c r="J128" s="2">
        <v>2.8812500000000001</v>
      </c>
      <c r="K128" t="s">
        <v>20</v>
      </c>
      <c r="L128" s="3">
        <v>24</v>
      </c>
      <c r="M128" s="3">
        <v>100</v>
      </c>
      <c r="N128" s="3">
        <v>21</v>
      </c>
      <c r="O128" t="s">
        <v>21</v>
      </c>
    </row>
    <row r="129" spans="1:15" x14ac:dyDescent="0.2">
      <c r="A129" t="s">
        <v>187</v>
      </c>
      <c r="B129" t="s">
        <v>188</v>
      </c>
      <c r="C129" t="s">
        <v>37</v>
      </c>
      <c r="D129" t="s">
        <v>337</v>
      </c>
      <c r="E129" s="3">
        <v>2025</v>
      </c>
      <c r="G129" t="s">
        <v>53</v>
      </c>
      <c r="H129"/>
      <c r="I129" s="1">
        <v>45817</v>
      </c>
      <c r="J129" s="2">
        <v>2.96458333333333</v>
      </c>
      <c r="K129" t="s">
        <v>20</v>
      </c>
      <c r="L129" s="3">
        <v>9</v>
      </c>
      <c r="M129" s="3">
        <v>88</v>
      </c>
      <c r="N129" s="3">
        <v>19</v>
      </c>
      <c r="O129" t="s">
        <v>21</v>
      </c>
    </row>
    <row r="130" spans="1:15" x14ac:dyDescent="0.2">
      <c r="A130" t="s">
        <v>193</v>
      </c>
      <c r="B130" t="s">
        <v>194</v>
      </c>
      <c r="C130" t="s">
        <v>17</v>
      </c>
      <c r="D130" t="s">
        <v>44</v>
      </c>
      <c r="E130" s="3">
        <v>2025</v>
      </c>
      <c r="G130" t="s">
        <v>38</v>
      </c>
      <c r="H130"/>
      <c r="I130" s="1">
        <v>45832</v>
      </c>
      <c r="J130" s="2">
        <v>3.08958333333333</v>
      </c>
      <c r="K130" t="s">
        <v>20</v>
      </c>
      <c r="L130" s="3">
        <v>10</v>
      </c>
      <c r="M130" s="3">
        <v>99</v>
      </c>
      <c r="N130" s="3">
        <v>21</v>
      </c>
      <c r="O130" t="s">
        <v>34</v>
      </c>
    </row>
    <row r="131" spans="1:15" x14ac:dyDescent="0.2">
      <c r="A131" t="s">
        <v>205</v>
      </c>
      <c r="B131" t="s">
        <v>206</v>
      </c>
      <c r="C131" t="s">
        <v>84</v>
      </c>
      <c r="D131" t="s">
        <v>336</v>
      </c>
      <c r="E131" s="3">
        <v>2025</v>
      </c>
      <c r="G131" t="s">
        <v>53</v>
      </c>
      <c r="H131"/>
      <c r="I131" s="1">
        <v>45723</v>
      </c>
      <c r="J131" s="2">
        <v>3.4229166666666702</v>
      </c>
      <c r="K131" t="s">
        <v>20</v>
      </c>
      <c r="L131" s="3">
        <v>8</v>
      </c>
      <c r="M131" s="3">
        <v>100</v>
      </c>
      <c r="N131" s="3">
        <v>21</v>
      </c>
      <c r="O131" t="s">
        <v>21</v>
      </c>
    </row>
    <row r="132" spans="1:15" x14ac:dyDescent="0.2">
      <c r="A132" t="s">
        <v>231</v>
      </c>
      <c r="B132" t="s">
        <v>73</v>
      </c>
      <c r="C132" t="s">
        <v>17</v>
      </c>
      <c r="D132" t="s">
        <v>75</v>
      </c>
      <c r="E132" s="3">
        <v>2025</v>
      </c>
      <c r="F132" s="3">
        <v>5</v>
      </c>
      <c r="G132" t="s">
        <v>232</v>
      </c>
      <c r="H132"/>
      <c r="I132" s="1">
        <v>45760</v>
      </c>
      <c r="J132" s="2">
        <v>3.83958333333333</v>
      </c>
      <c r="K132" t="s">
        <v>20</v>
      </c>
      <c r="L132" s="3">
        <v>13</v>
      </c>
      <c r="M132" s="3">
        <v>100</v>
      </c>
      <c r="N132" s="3">
        <v>21</v>
      </c>
      <c r="O132" t="s">
        <v>21</v>
      </c>
    </row>
    <row r="133" spans="1:15" x14ac:dyDescent="0.2">
      <c r="A133" t="s">
        <v>254</v>
      </c>
      <c r="B133" t="s">
        <v>255</v>
      </c>
      <c r="C133" t="s">
        <v>17</v>
      </c>
      <c r="D133" t="s">
        <v>44</v>
      </c>
      <c r="E133" s="3">
        <v>2025</v>
      </c>
      <c r="G133" t="s">
        <v>256</v>
      </c>
      <c r="H133"/>
      <c r="I133" s="1">
        <v>45794</v>
      </c>
      <c r="J133" s="2">
        <v>4.46458333333333</v>
      </c>
      <c r="K133" t="s">
        <v>20</v>
      </c>
      <c r="L133" s="3">
        <v>8</v>
      </c>
      <c r="M133" s="3">
        <v>99</v>
      </c>
      <c r="N133" s="3">
        <v>20</v>
      </c>
      <c r="O133" t="s">
        <v>34</v>
      </c>
    </row>
    <row r="134" spans="1:15" x14ac:dyDescent="0.2">
      <c r="A134" t="s">
        <v>259</v>
      </c>
      <c r="B134" t="s">
        <v>260</v>
      </c>
      <c r="C134" t="s">
        <v>37</v>
      </c>
      <c r="D134" t="s">
        <v>52</v>
      </c>
      <c r="E134" s="3">
        <v>2025</v>
      </c>
      <c r="G134" t="s">
        <v>199</v>
      </c>
      <c r="H134"/>
      <c r="I134" s="1">
        <v>45815</v>
      </c>
      <c r="J134" s="2">
        <v>4.58958333333333</v>
      </c>
      <c r="K134" t="s">
        <v>20</v>
      </c>
      <c r="L134" s="3">
        <v>11</v>
      </c>
      <c r="M134" s="3">
        <v>100</v>
      </c>
      <c r="N134" s="3">
        <v>21</v>
      </c>
      <c r="O134" t="s">
        <v>21</v>
      </c>
    </row>
    <row r="135" spans="1:15" x14ac:dyDescent="0.2">
      <c r="A135" t="s">
        <v>280</v>
      </c>
      <c r="B135" t="s">
        <v>281</v>
      </c>
      <c r="C135" t="s">
        <v>17</v>
      </c>
      <c r="D135" t="s">
        <v>320</v>
      </c>
      <c r="E135" s="3">
        <v>2025</v>
      </c>
      <c r="G135" t="s">
        <v>158</v>
      </c>
      <c r="H135"/>
      <c r="I135" s="1">
        <v>45778</v>
      </c>
      <c r="J135" s="2">
        <v>4.96458333333333</v>
      </c>
      <c r="K135" t="s">
        <v>20</v>
      </c>
      <c r="L135" s="3">
        <v>9</v>
      </c>
      <c r="M135" s="3">
        <v>87</v>
      </c>
      <c r="N135" s="3">
        <v>19</v>
      </c>
      <c r="O135" t="s">
        <v>34</v>
      </c>
    </row>
    <row r="136" spans="1:15" x14ac:dyDescent="0.2">
      <c r="A136" t="s">
        <v>306</v>
      </c>
      <c r="B136" t="s">
        <v>307</v>
      </c>
      <c r="C136" t="s">
        <v>17</v>
      </c>
      <c r="D136" t="s">
        <v>44</v>
      </c>
      <c r="E136" s="3">
        <v>2025</v>
      </c>
      <c r="G136" t="s">
        <v>158</v>
      </c>
      <c r="H136"/>
      <c r="I136" s="1">
        <v>45810</v>
      </c>
      <c r="J136" s="2">
        <v>5.58958333333333</v>
      </c>
      <c r="K136" t="s">
        <v>20</v>
      </c>
      <c r="L136" s="3">
        <v>9</v>
      </c>
      <c r="M136" s="3">
        <v>98</v>
      </c>
      <c r="N136" s="3">
        <v>10</v>
      </c>
      <c r="O136" t="s">
        <v>34</v>
      </c>
    </row>
    <row r="137" spans="1:15" x14ac:dyDescent="0.2">
      <c r="A137" t="s">
        <v>117</v>
      </c>
      <c r="B137" t="s">
        <v>16</v>
      </c>
      <c r="C137" t="s">
        <v>17</v>
      </c>
      <c r="D137" t="s">
        <v>29</v>
      </c>
      <c r="F137" s="3">
        <v>2</v>
      </c>
      <c r="H137"/>
      <c r="I137" s="1">
        <v>45312</v>
      </c>
      <c r="J137" s="2">
        <v>1.7979166666666699</v>
      </c>
      <c r="K137" t="s">
        <v>20</v>
      </c>
      <c r="L137" s="3">
        <v>30</v>
      </c>
      <c r="M137" s="3">
        <v>100</v>
      </c>
      <c r="N137" s="3">
        <v>21</v>
      </c>
      <c r="O137" t="s">
        <v>21</v>
      </c>
    </row>
    <row r="138" spans="1:15" x14ac:dyDescent="0.2">
      <c r="A138" t="s">
        <v>150</v>
      </c>
      <c r="B138" t="s">
        <v>143</v>
      </c>
      <c r="C138" t="s">
        <v>132</v>
      </c>
      <c r="D138" t="s">
        <v>151</v>
      </c>
      <c r="G138" t="s">
        <v>152</v>
      </c>
      <c r="H138">
        <v>9780312424986</v>
      </c>
      <c r="I138" s="1">
        <v>43831</v>
      </c>
      <c r="J138" s="2">
        <v>2.3812500000000001</v>
      </c>
      <c r="K138" t="s">
        <v>20</v>
      </c>
      <c r="L138" s="3">
        <v>30</v>
      </c>
      <c r="M138" s="3">
        <v>100</v>
      </c>
      <c r="N138" s="3">
        <v>21</v>
      </c>
      <c r="O13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AFC7-B928-D444-94E5-481D5BBA344B}">
  <dimension ref="A1:R130"/>
  <sheetViews>
    <sheetView topLeftCell="M1" zoomScaleNormal="100" workbookViewId="0">
      <selection activeCell="P3" sqref="P3"/>
    </sheetView>
  </sheetViews>
  <sheetFormatPr baseColWidth="10" defaultColWidth="12.6640625" defaultRowHeight="15" x14ac:dyDescent="0.2"/>
  <cols>
    <col min="1" max="1" width="60.83203125" bestFit="1" customWidth="1"/>
    <col min="2" max="2" width="25.33203125" bestFit="1" customWidth="1"/>
    <col min="3" max="3" width="14.83203125" bestFit="1" customWidth="1"/>
    <col min="4" max="4" width="30.5" bestFit="1" customWidth="1"/>
    <col min="5" max="5" width="15" customWidth="1"/>
    <col min="6" max="6" width="11.33203125" customWidth="1"/>
    <col min="7" max="7" width="29.83203125" bestFit="1" customWidth="1"/>
    <col min="8" max="8" width="14.6640625" style="3" bestFit="1" customWidth="1"/>
    <col min="9" max="9" width="11.5" style="1" customWidth="1"/>
    <col min="10" max="10" width="23.1640625" bestFit="1" customWidth="1"/>
    <col min="11" max="11" width="11.5" style="3" customWidth="1"/>
    <col min="12" max="12" width="15.1640625" style="2" customWidth="1"/>
    <col min="13" max="13" width="9.33203125" customWidth="1"/>
    <col min="14" max="14" width="16.1640625" customWidth="1"/>
    <col min="15" max="16" width="17.5" customWidth="1"/>
    <col min="17" max="17" width="20.83203125" customWidth="1"/>
    <col min="18" max="18" width="18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360</v>
      </c>
      <c r="K1" s="3" t="s">
        <v>344</v>
      </c>
      <c r="L1" s="2" t="s">
        <v>9</v>
      </c>
      <c r="M1" t="s">
        <v>10</v>
      </c>
      <c r="N1" t="s">
        <v>11</v>
      </c>
      <c r="O1" t="s">
        <v>12</v>
      </c>
      <c r="P1" t="s">
        <v>357</v>
      </c>
      <c r="Q1" t="s">
        <v>13</v>
      </c>
      <c r="R1" t="s">
        <v>358</v>
      </c>
    </row>
    <row r="2" spans="1:18" x14ac:dyDescent="0.2">
      <c r="A2" t="s">
        <v>247</v>
      </c>
      <c r="B2" t="s">
        <v>248</v>
      </c>
      <c r="C2" t="s">
        <v>17</v>
      </c>
      <c r="D2" t="s">
        <v>26</v>
      </c>
      <c r="E2">
        <v>1990</v>
      </c>
      <c r="F2">
        <v>1</v>
      </c>
      <c r="G2" t="s">
        <v>19</v>
      </c>
      <c r="H2"/>
      <c r="I2" s="1">
        <v>44025</v>
      </c>
      <c r="J2" t="str">
        <f t="shared" ref="J2:J33" si="0">TEXT(I2,"mmmm")</f>
        <v>July</v>
      </c>
      <c r="K2" s="3">
        <f t="shared" ref="K2:K33" si="1">YEAR(I2)</f>
        <v>2020</v>
      </c>
      <c r="L2" s="2">
        <v>4.2562499999999996</v>
      </c>
      <c r="M2" t="s">
        <v>20</v>
      </c>
      <c r="N2">
        <v>19</v>
      </c>
      <c r="O2">
        <v>100</v>
      </c>
      <c r="P2" t="str">
        <f t="shared" ref="P2:P33" si="2">IF(O2=100,"Fully Finished",IF(O2&gt;=75,"Nearly There (75–99%)",IF(O2&gt;=25,"Got Going (25–74%)","Barely Started (0–24%)")))</f>
        <v>Fully Finished</v>
      </c>
      <c r="Q2">
        <v>21</v>
      </c>
      <c r="R2" t="s">
        <v>21</v>
      </c>
    </row>
    <row r="3" spans="1:18" x14ac:dyDescent="0.2">
      <c r="A3" t="s">
        <v>77</v>
      </c>
      <c r="B3" t="s">
        <v>78</v>
      </c>
      <c r="C3" t="s">
        <v>354</v>
      </c>
      <c r="D3" t="s">
        <v>80</v>
      </c>
      <c r="E3">
        <v>2004</v>
      </c>
      <c r="G3" t="s">
        <v>81</v>
      </c>
      <c r="H3"/>
      <c r="I3" s="1">
        <v>43928</v>
      </c>
      <c r="J3" t="str">
        <f t="shared" si="0"/>
        <v>April</v>
      </c>
      <c r="K3" s="3">
        <f t="shared" si="1"/>
        <v>2020</v>
      </c>
      <c r="L3" s="2">
        <v>1.08958333333333</v>
      </c>
      <c r="M3" t="s">
        <v>20</v>
      </c>
      <c r="N3">
        <v>22</v>
      </c>
      <c r="O3">
        <v>100</v>
      </c>
      <c r="P3" t="str">
        <f t="shared" si="2"/>
        <v>Fully Finished</v>
      </c>
      <c r="Q3">
        <v>21</v>
      </c>
      <c r="R3" t="s">
        <v>21</v>
      </c>
    </row>
    <row r="4" spans="1:18" x14ac:dyDescent="0.2">
      <c r="A4" t="s">
        <v>240</v>
      </c>
      <c r="B4" t="s">
        <v>241</v>
      </c>
      <c r="C4" t="s">
        <v>17</v>
      </c>
      <c r="D4" t="s">
        <v>323</v>
      </c>
      <c r="E4">
        <v>2004</v>
      </c>
      <c r="F4">
        <v>1</v>
      </c>
      <c r="G4" t="s">
        <v>57</v>
      </c>
      <c r="H4">
        <v>9780060817916</v>
      </c>
      <c r="I4" s="1">
        <v>45091</v>
      </c>
      <c r="J4" t="str">
        <f t="shared" si="0"/>
        <v>June</v>
      </c>
      <c r="K4" s="3">
        <f t="shared" si="1"/>
        <v>2023</v>
      </c>
      <c r="L4" s="2">
        <v>4.0479166666666702</v>
      </c>
      <c r="M4" t="s">
        <v>20</v>
      </c>
      <c r="N4">
        <v>3</v>
      </c>
      <c r="O4">
        <v>100</v>
      </c>
      <c r="P4" t="str">
        <f t="shared" si="2"/>
        <v>Fully Finished</v>
      </c>
      <c r="Q4">
        <v>21</v>
      </c>
      <c r="R4" t="s">
        <v>34</v>
      </c>
    </row>
    <row r="5" spans="1:18" x14ac:dyDescent="0.2">
      <c r="B5" t="s">
        <v>305</v>
      </c>
      <c r="C5" t="s">
        <v>17</v>
      </c>
      <c r="D5" t="s">
        <v>318</v>
      </c>
      <c r="E5">
        <v>2005</v>
      </c>
      <c r="F5">
        <v>1</v>
      </c>
      <c r="G5" t="s">
        <v>71</v>
      </c>
      <c r="H5">
        <v>9780307280916</v>
      </c>
      <c r="I5" s="1">
        <v>45077</v>
      </c>
      <c r="J5" t="str">
        <f t="shared" si="0"/>
        <v>May</v>
      </c>
      <c r="K5" s="3">
        <f t="shared" si="1"/>
        <v>2023</v>
      </c>
      <c r="L5" s="2">
        <v>5.5479166666666702</v>
      </c>
      <c r="M5" t="s">
        <v>20</v>
      </c>
      <c r="N5">
        <v>13</v>
      </c>
      <c r="O5">
        <v>98</v>
      </c>
      <c r="P5" t="str">
        <f t="shared" si="2"/>
        <v>Nearly There (75–99%)</v>
      </c>
      <c r="Q5">
        <v>20</v>
      </c>
      <c r="R5" t="s">
        <v>34</v>
      </c>
    </row>
    <row r="6" spans="1:18" x14ac:dyDescent="0.2">
      <c r="A6" t="s">
        <v>189</v>
      </c>
      <c r="B6" t="s">
        <v>190</v>
      </c>
      <c r="C6" t="s">
        <v>340</v>
      </c>
      <c r="D6" t="s">
        <v>342</v>
      </c>
      <c r="E6">
        <v>2006</v>
      </c>
      <c r="G6" t="s">
        <v>97</v>
      </c>
      <c r="H6">
        <v>9781483088907</v>
      </c>
      <c r="I6" s="1">
        <v>45200</v>
      </c>
      <c r="J6" t="str">
        <f t="shared" si="0"/>
        <v>October</v>
      </c>
      <c r="K6" s="3">
        <f t="shared" si="1"/>
        <v>2023</v>
      </c>
      <c r="L6" s="2">
        <v>3.0062500000000001</v>
      </c>
      <c r="M6" t="s">
        <v>20</v>
      </c>
      <c r="N6">
        <v>8</v>
      </c>
      <c r="O6">
        <v>98</v>
      </c>
      <c r="P6" t="str">
        <f t="shared" si="2"/>
        <v>Nearly There (75–99%)</v>
      </c>
      <c r="Q6">
        <v>12</v>
      </c>
      <c r="R6" t="s">
        <v>34</v>
      </c>
    </row>
    <row r="7" spans="1:18" x14ac:dyDescent="0.2">
      <c r="A7" t="s">
        <v>213</v>
      </c>
      <c r="B7" t="s">
        <v>190</v>
      </c>
      <c r="C7" t="s">
        <v>340</v>
      </c>
      <c r="D7" t="s">
        <v>342</v>
      </c>
      <c r="E7">
        <v>2006</v>
      </c>
      <c r="G7" t="s">
        <v>214</v>
      </c>
      <c r="H7">
        <v>9789629544591</v>
      </c>
      <c r="I7" s="1">
        <v>45415</v>
      </c>
      <c r="J7" t="str">
        <f t="shared" si="0"/>
        <v>May</v>
      </c>
      <c r="K7" s="3">
        <f t="shared" si="1"/>
        <v>2024</v>
      </c>
      <c r="L7" s="2">
        <v>3.5479166666666702</v>
      </c>
      <c r="M7" t="s">
        <v>20</v>
      </c>
      <c r="N7">
        <v>13</v>
      </c>
      <c r="O7">
        <v>100</v>
      </c>
      <c r="P7" t="str">
        <f t="shared" si="2"/>
        <v>Fully Finished</v>
      </c>
      <c r="Q7">
        <v>20</v>
      </c>
      <c r="R7" t="s">
        <v>34</v>
      </c>
    </row>
    <row r="8" spans="1:18" x14ac:dyDescent="0.2">
      <c r="A8" t="s">
        <v>277</v>
      </c>
      <c r="B8" t="s">
        <v>278</v>
      </c>
      <c r="C8" t="s">
        <v>17</v>
      </c>
      <c r="D8" t="s">
        <v>29</v>
      </c>
      <c r="E8">
        <v>2006</v>
      </c>
      <c r="G8" t="s">
        <v>279</v>
      </c>
      <c r="H8">
        <v>9781607472469</v>
      </c>
      <c r="I8" s="1">
        <v>45451</v>
      </c>
      <c r="J8" t="str">
        <f t="shared" si="0"/>
        <v>June</v>
      </c>
      <c r="K8" s="3">
        <f t="shared" si="1"/>
        <v>2024</v>
      </c>
      <c r="L8" s="2">
        <v>4.9229166666666702</v>
      </c>
      <c r="M8" t="s">
        <v>20</v>
      </c>
      <c r="N8">
        <v>3</v>
      </c>
      <c r="O8">
        <v>77</v>
      </c>
      <c r="P8" t="str">
        <f t="shared" si="2"/>
        <v>Nearly There (75–99%)</v>
      </c>
      <c r="Q8">
        <v>21</v>
      </c>
      <c r="R8" t="s">
        <v>34</v>
      </c>
    </row>
    <row r="9" spans="1:18" x14ac:dyDescent="0.2">
      <c r="A9" t="s">
        <v>233</v>
      </c>
      <c r="B9" t="s">
        <v>234</v>
      </c>
      <c r="C9" t="s">
        <v>37</v>
      </c>
      <c r="D9" t="s">
        <v>339</v>
      </c>
      <c r="E9">
        <v>2007</v>
      </c>
      <c r="G9" t="s">
        <v>227</v>
      </c>
      <c r="H9"/>
      <c r="I9" s="1">
        <v>44141</v>
      </c>
      <c r="J9" t="str">
        <f t="shared" si="0"/>
        <v>November</v>
      </c>
      <c r="K9" s="3">
        <f t="shared" si="1"/>
        <v>2020</v>
      </c>
      <c r="L9" s="2">
        <v>3.8812500000000001</v>
      </c>
      <c r="M9" t="s">
        <v>20</v>
      </c>
      <c r="N9">
        <v>10</v>
      </c>
      <c r="O9">
        <v>100</v>
      </c>
      <c r="P9" t="str">
        <f t="shared" si="2"/>
        <v>Fully Finished</v>
      </c>
      <c r="Q9">
        <v>21</v>
      </c>
      <c r="R9" t="s">
        <v>21</v>
      </c>
    </row>
    <row r="10" spans="1:18" x14ac:dyDescent="0.2">
      <c r="A10" t="s">
        <v>39</v>
      </c>
      <c r="B10" t="s">
        <v>32</v>
      </c>
      <c r="C10" t="s">
        <v>17</v>
      </c>
      <c r="D10" t="s">
        <v>316</v>
      </c>
      <c r="E10">
        <v>2008</v>
      </c>
      <c r="F10">
        <v>1</v>
      </c>
      <c r="G10" t="s">
        <v>40</v>
      </c>
      <c r="H10">
        <v>9781908377098</v>
      </c>
      <c r="I10" s="1">
        <v>45346</v>
      </c>
      <c r="J10" t="str">
        <f t="shared" si="0"/>
        <v>February</v>
      </c>
      <c r="K10" s="3">
        <f t="shared" si="1"/>
        <v>2024</v>
      </c>
      <c r="L10" s="2">
        <v>0.50624999999999998</v>
      </c>
      <c r="M10" t="s">
        <v>20</v>
      </c>
      <c r="N10">
        <v>3</v>
      </c>
      <c r="O10">
        <v>99</v>
      </c>
      <c r="P10" t="str">
        <f t="shared" si="2"/>
        <v>Nearly There (75–99%)</v>
      </c>
      <c r="Q10">
        <v>20</v>
      </c>
      <c r="R10" t="s">
        <v>34</v>
      </c>
    </row>
    <row r="11" spans="1:18" x14ac:dyDescent="0.2">
      <c r="A11" t="s">
        <v>41</v>
      </c>
      <c r="B11" t="s">
        <v>32</v>
      </c>
      <c r="C11" t="s">
        <v>17</v>
      </c>
      <c r="D11" t="s">
        <v>316</v>
      </c>
      <c r="E11">
        <v>2008</v>
      </c>
      <c r="F11">
        <v>2</v>
      </c>
      <c r="G11" t="s">
        <v>40</v>
      </c>
      <c r="H11">
        <v>9781908377104</v>
      </c>
      <c r="I11" s="1">
        <v>45346</v>
      </c>
      <c r="J11" t="str">
        <f t="shared" si="0"/>
        <v>February</v>
      </c>
      <c r="K11" s="3">
        <f t="shared" si="1"/>
        <v>2024</v>
      </c>
      <c r="L11" s="2">
        <v>0.54791666666666705</v>
      </c>
      <c r="M11" t="s">
        <v>20</v>
      </c>
      <c r="N11">
        <v>3</v>
      </c>
      <c r="O11">
        <v>99</v>
      </c>
      <c r="P11" t="str">
        <f t="shared" si="2"/>
        <v>Nearly There (75–99%)</v>
      </c>
      <c r="Q11">
        <v>21</v>
      </c>
      <c r="R11" t="s">
        <v>34</v>
      </c>
    </row>
    <row r="12" spans="1:18" x14ac:dyDescent="0.2">
      <c r="A12" t="s">
        <v>69</v>
      </c>
      <c r="B12" t="s">
        <v>70</v>
      </c>
      <c r="C12" t="s">
        <v>17</v>
      </c>
      <c r="D12" t="s">
        <v>29</v>
      </c>
      <c r="E12">
        <v>2008</v>
      </c>
      <c r="F12">
        <v>3</v>
      </c>
      <c r="G12" t="s">
        <v>71</v>
      </c>
      <c r="H12">
        <v>9780739368053</v>
      </c>
      <c r="I12" s="1">
        <v>45087</v>
      </c>
      <c r="J12" t="str">
        <f t="shared" si="0"/>
        <v>June</v>
      </c>
      <c r="K12" s="3">
        <f t="shared" si="1"/>
        <v>2023</v>
      </c>
      <c r="L12" s="2">
        <v>1.0062500000000001</v>
      </c>
      <c r="M12" t="s">
        <v>20</v>
      </c>
      <c r="N12">
        <v>30</v>
      </c>
      <c r="O12">
        <v>100</v>
      </c>
      <c r="P12" t="str">
        <f t="shared" si="2"/>
        <v>Fully Finished</v>
      </c>
      <c r="Q12">
        <v>21</v>
      </c>
      <c r="R12" t="s">
        <v>34</v>
      </c>
    </row>
    <row r="13" spans="1:18" x14ac:dyDescent="0.2">
      <c r="A13" t="s">
        <v>252</v>
      </c>
      <c r="B13" t="s">
        <v>73</v>
      </c>
      <c r="C13" t="s">
        <v>354</v>
      </c>
      <c r="D13" t="s">
        <v>75</v>
      </c>
      <c r="E13">
        <v>2008</v>
      </c>
      <c r="F13">
        <v>1</v>
      </c>
      <c r="G13" t="s">
        <v>253</v>
      </c>
      <c r="H13"/>
      <c r="I13" s="1">
        <v>45042</v>
      </c>
      <c r="J13" t="str">
        <f t="shared" si="0"/>
        <v>April</v>
      </c>
      <c r="K13" s="3">
        <f t="shared" si="1"/>
        <v>2023</v>
      </c>
      <c r="L13" s="2">
        <v>4.4229166666666702</v>
      </c>
      <c r="M13" t="s">
        <v>20</v>
      </c>
      <c r="N13">
        <v>11</v>
      </c>
      <c r="O13">
        <v>99</v>
      </c>
      <c r="P13" t="str">
        <f t="shared" si="2"/>
        <v>Nearly There (75–99%)</v>
      </c>
      <c r="Q13">
        <v>20</v>
      </c>
      <c r="R13" t="s">
        <v>34</v>
      </c>
    </row>
    <row r="14" spans="1:18" x14ac:dyDescent="0.2">
      <c r="A14" t="s">
        <v>31</v>
      </c>
      <c r="B14" t="s">
        <v>32</v>
      </c>
      <c r="C14" t="s">
        <v>17</v>
      </c>
      <c r="D14" t="s">
        <v>316</v>
      </c>
      <c r="E14">
        <v>2009</v>
      </c>
      <c r="F14">
        <v>1</v>
      </c>
      <c r="G14" t="s">
        <v>33</v>
      </c>
      <c r="H14">
        <v>9781400185139</v>
      </c>
      <c r="I14" s="1">
        <v>45334</v>
      </c>
      <c r="J14" t="str">
        <f t="shared" si="0"/>
        <v>February</v>
      </c>
      <c r="K14" s="3">
        <f t="shared" si="1"/>
        <v>2024</v>
      </c>
      <c r="L14" s="2">
        <v>0.422916666666667</v>
      </c>
      <c r="M14" t="s">
        <v>20</v>
      </c>
      <c r="N14">
        <v>5</v>
      </c>
      <c r="O14">
        <v>100</v>
      </c>
      <c r="P14" t="str">
        <f t="shared" si="2"/>
        <v>Fully Finished</v>
      </c>
      <c r="Q14">
        <v>20</v>
      </c>
      <c r="R14" t="s">
        <v>34</v>
      </c>
    </row>
    <row r="15" spans="1:18" x14ac:dyDescent="0.2">
      <c r="A15" t="s">
        <v>72</v>
      </c>
      <c r="B15" t="s">
        <v>73</v>
      </c>
      <c r="C15" t="s">
        <v>354</v>
      </c>
      <c r="D15" t="s">
        <v>75</v>
      </c>
      <c r="E15">
        <v>2009</v>
      </c>
      <c r="F15">
        <v>2</v>
      </c>
      <c r="G15" t="s">
        <v>76</v>
      </c>
      <c r="H15"/>
      <c r="I15" s="1">
        <v>45064</v>
      </c>
      <c r="J15" t="str">
        <f t="shared" si="0"/>
        <v>May</v>
      </c>
      <c r="K15" s="3">
        <f t="shared" si="1"/>
        <v>2023</v>
      </c>
      <c r="L15" s="2">
        <v>1.0479166666666699</v>
      </c>
      <c r="M15" t="s">
        <v>20</v>
      </c>
      <c r="N15">
        <v>12</v>
      </c>
      <c r="O15">
        <v>99</v>
      </c>
      <c r="P15" t="str">
        <f t="shared" si="2"/>
        <v>Nearly There (75–99%)</v>
      </c>
      <c r="Q15">
        <v>19</v>
      </c>
      <c r="R15" t="s">
        <v>34</v>
      </c>
    </row>
    <row r="16" spans="1:18" x14ac:dyDescent="0.2">
      <c r="A16" t="s">
        <v>236</v>
      </c>
      <c r="B16" t="s">
        <v>32</v>
      </c>
      <c r="C16" t="s">
        <v>17</v>
      </c>
      <c r="D16" t="s">
        <v>316</v>
      </c>
      <c r="E16">
        <v>2009</v>
      </c>
      <c r="F16">
        <v>3</v>
      </c>
      <c r="G16" t="s">
        <v>97</v>
      </c>
      <c r="H16">
        <v>9781483089942</v>
      </c>
      <c r="I16" s="1">
        <v>45338</v>
      </c>
      <c r="J16" t="str">
        <f t="shared" si="0"/>
        <v>February</v>
      </c>
      <c r="K16" s="3">
        <f t="shared" si="1"/>
        <v>2024</v>
      </c>
      <c r="L16" s="2">
        <v>3.96458333333333</v>
      </c>
      <c r="M16" t="s">
        <v>20</v>
      </c>
      <c r="N16">
        <v>9</v>
      </c>
      <c r="O16">
        <v>93</v>
      </c>
      <c r="P16" t="str">
        <f t="shared" si="2"/>
        <v>Nearly There (75–99%)</v>
      </c>
      <c r="Q16">
        <v>20</v>
      </c>
      <c r="R16" t="s">
        <v>34</v>
      </c>
    </row>
    <row r="17" spans="1:18" x14ac:dyDescent="0.2">
      <c r="A17" t="s">
        <v>251</v>
      </c>
      <c r="B17" t="s">
        <v>32</v>
      </c>
      <c r="C17" t="s">
        <v>17</v>
      </c>
      <c r="D17" t="s">
        <v>316</v>
      </c>
      <c r="E17">
        <v>2009</v>
      </c>
      <c r="F17">
        <v>5</v>
      </c>
      <c r="G17" t="s">
        <v>33</v>
      </c>
      <c r="H17">
        <v>9781400185153</v>
      </c>
      <c r="I17" s="1">
        <v>45341</v>
      </c>
      <c r="J17" t="str">
        <f t="shared" si="0"/>
        <v>February</v>
      </c>
      <c r="K17" s="3">
        <f t="shared" si="1"/>
        <v>2024</v>
      </c>
      <c r="L17" s="2">
        <v>4.3812499999999996</v>
      </c>
      <c r="M17" t="s">
        <v>20</v>
      </c>
      <c r="N17">
        <v>7</v>
      </c>
      <c r="O17">
        <v>88</v>
      </c>
      <c r="P17" t="str">
        <f t="shared" si="2"/>
        <v>Nearly There (75–99%)</v>
      </c>
      <c r="Q17">
        <v>21</v>
      </c>
      <c r="R17" t="s">
        <v>34</v>
      </c>
    </row>
    <row r="18" spans="1:18" x14ac:dyDescent="0.2">
      <c r="A18" t="s">
        <v>290</v>
      </c>
      <c r="B18" t="s">
        <v>32</v>
      </c>
      <c r="C18" t="s">
        <v>17</v>
      </c>
      <c r="D18" t="s">
        <v>316</v>
      </c>
      <c r="E18">
        <v>2009</v>
      </c>
      <c r="F18">
        <v>2</v>
      </c>
      <c r="G18" t="s">
        <v>33</v>
      </c>
      <c r="H18">
        <v>9781400185146</v>
      </c>
      <c r="I18" s="1">
        <v>45334</v>
      </c>
      <c r="J18" t="str">
        <f t="shared" si="0"/>
        <v>February</v>
      </c>
      <c r="K18" s="3">
        <f t="shared" si="1"/>
        <v>2024</v>
      </c>
      <c r="L18" s="2">
        <v>5.2562499999999996</v>
      </c>
      <c r="M18" t="s">
        <v>20</v>
      </c>
      <c r="N18">
        <v>5</v>
      </c>
      <c r="O18">
        <v>100</v>
      </c>
      <c r="P18" t="str">
        <f t="shared" si="2"/>
        <v>Fully Finished</v>
      </c>
      <c r="Q18">
        <v>21</v>
      </c>
      <c r="R18" t="s">
        <v>34</v>
      </c>
    </row>
    <row r="19" spans="1:18" x14ac:dyDescent="0.2">
      <c r="A19" t="s">
        <v>311</v>
      </c>
      <c r="B19" t="s">
        <v>65</v>
      </c>
      <c r="C19" t="s">
        <v>343</v>
      </c>
      <c r="D19" t="s">
        <v>66</v>
      </c>
      <c r="E19">
        <v>2009</v>
      </c>
      <c r="F19">
        <v>1</v>
      </c>
      <c r="G19" t="s">
        <v>67</v>
      </c>
      <c r="H19">
        <v>9780007310341</v>
      </c>
      <c r="I19" s="1">
        <v>44136</v>
      </c>
      <c r="J19" t="str">
        <f t="shared" si="0"/>
        <v>November</v>
      </c>
      <c r="K19" s="3">
        <f t="shared" si="1"/>
        <v>2020</v>
      </c>
      <c r="L19" s="2">
        <v>5.71458333333333</v>
      </c>
      <c r="M19" t="s">
        <v>20</v>
      </c>
      <c r="N19">
        <v>37</v>
      </c>
      <c r="O19">
        <v>100</v>
      </c>
      <c r="P19" t="str">
        <f t="shared" si="2"/>
        <v>Fully Finished</v>
      </c>
      <c r="Q19">
        <v>21</v>
      </c>
      <c r="R19" t="s">
        <v>21</v>
      </c>
    </row>
    <row r="20" spans="1:18" x14ac:dyDescent="0.2">
      <c r="A20" t="s">
        <v>311</v>
      </c>
      <c r="B20" t="s">
        <v>65</v>
      </c>
      <c r="C20" t="s">
        <v>343</v>
      </c>
      <c r="D20" t="s">
        <v>66</v>
      </c>
      <c r="E20">
        <v>2009</v>
      </c>
      <c r="F20">
        <v>1</v>
      </c>
      <c r="G20" t="s">
        <v>67</v>
      </c>
      <c r="H20" t="s">
        <v>312</v>
      </c>
      <c r="I20" s="1">
        <v>43831</v>
      </c>
      <c r="J20" t="str">
        <f t="shared" si="0"/>
        <v>January</v>
      </c>
      <c r="K20" s="3">
        <f t="shared" si="1"/>
        <v>2020</v>
      </c>
      <c r="L20" s="2">
        <v>5.7562499999999996</v>
      </c>
      <c r="M20" t="s">
        <v>20</v>
      </c>
      <c r="N20">
        <v>37</v>
      </c>
      <c r="O20">
        <v>0</v>
      </c>
      <c r="P20" t="str">
        <f t="shared" si="2"/>
        <v>Barely Started (0–24%)</v>
      </c>
      <c r="Q20">
        <v>21</v>
      </c>
      <c r="R20" t="s">
        <v>21</v>
      </c>
    </row>
    <row r="21" spans="1:18" x14ac:dyDescent="0.2">
      <c r="A21" t="s">
        <v>85</v>
      </c>
      <c r="B21" t="s">
        <v>86</v>
      </c>
      <c r="C21" t="s">
        <v>17</v>
      </c>
      <c r="D21" t="s">
        <v>44</v>
      </c>
      <c r="E21">
        <v>2010</v>
      </c>
      <c r="F21">
        <v>2</v>
      </c>
      <c r="G21" t="s">
        <v>60</v>
      </c>
      <c r="H21">
        <v>9781408481912</v>
      </c>
      <c r="I21" s="1">
        <v>45123</v>
      </c>
      <c r="J21" t="str">
        <f t="shared" si="0"/>
        <v>July</v>
      </c>
      <c r="K21" s="3">
        <f t="shared" si="1"/>
        <v>2023</v>
      </c>
      <c r="L21" s="2">
        <v>1.1729166666666699</v>
      </c>
      <c r="M21" t="s">
        <v>20</v>
      </c>
      <c r="N21">
        <v>2</v>
      </c>
      <c r="O21">
        <v>100</v>
      </c>
      <c r="P21" t="str">
        <f t="shared" si="2"/>
        <v>Fully Finished</v>
      </c>
      <c r="Q21">
        <v>7</v>
      </c>
      <c r="R21" t="s">
        <v>34</v>
      </c>
    </row>
    <row r="22" spans="1:18" x14ac:dyDescent="0.2">
      <c r="A22" t="s">
        <v>87</v>
      </c>
      <c r="B22" t="s">
        <v>88</v>
      </c>
      <c r="C22" t="s">
        <v>340</v>
      </c>
      <c r="D22" t="s">
        <v>90</v>
      </c>
      <c r="E22">
        <v>2010</v>
      </c>
      <c r="G22" t="s">
        <v>91</v>
      </c>
      <c r="H22"/>
      <c r="I22" s="1">
        <v>45308</v>
      </c>
      <c r="J22" t="str">
        <f t="shared" si="0"/>
        <v>January</v>
      </c>
      <c r="K22" s="3">
        <f t="shared" si="1"/>
        <v>2024</v>
      </c>
      <c r="L22" s="2">
        <v>1.21458333333333</v>
      </c>
      <c r="M22" t="s">
        <v>20</v>
      </c>
      <c r="N22">
        <v>19</v>
      </c>
      <c r="O22">
        <v>100</v>
      </c>
      <c r="P22" t="str">
        <f t="shared" si="2"/>
        <v>Fully Finished</v>
      </c>
      <c r="Q22">
        <v>19</v>
      </c>
      <c r="R22" t="s">
        <v>34</v>
      </c>
    </row>
    <row r="23" spans="1:18" x14ac:dyDescent="0.2">
      <c r="A23" t="s">
        <v>153</v>
      </c>
      <c r="B23" t="s">
        <v>73</v>
      </c>
      <c r="C23" t="s">
        <v>354</v>
      </c>
      <c r="D23" t="s">
        <v>75</v>
      </c>
      <c r="E23">
        <v>2010</v>
      </c>
      <c r="F23">
        <v>3</v>
      </c>
      <c r="G23" t="s">
        <v>76</v>
      </c>
      <c r="H23"/>
      <c r="I23" s="1">
        <v>45064</v>
      </c>
      <c r="J23" t="str">
        <f t="shared" si="0"/>
        <v>May</v>
      </c>
      <c r="K23" s="3">
        <f t="shared" si="1"/>
        <v>2023</v>
      </c>
      <c r="L23" s="2">
        <v>2.4229166666666702</v>
      </c>
      <c r="M23" t="s">
        <v>20</v>
      </c>
      <c r="N23">
        <v>12</v>
      </c>
      <c r="O23">
        <v>98</v>
      </c>
      <c r="P23" t="str">
        <f t="shared" si="2"/>
        <v>Nearly There (75–99%)</v>
      </c>
      <c r="Q23">
        <v>21</v>
      </c>
      <c r="R23" t="s">
        <v>34</v>
      </c>
    </row>
    <row r="24" spans="1:18" x14ac:dyDescent="0.2">
      <c r="A24" t="s">
        <v>195</v>
      </c>
      <c r="B24" t="s">
        <v>190</v>
      </c>
      <c r="C24" t="s">
        <v>340</v>
      </c>
      <c r="D24" t="s">
        <v>342</v>
      </c>
      <c r="E24">
        <v>2010</v>
      </c>
      <c r="G24" t="s">
        <v>91</v>
      </c>
      <c r="H24"/>
      <c r="I24" s="1">
        <v>45437</v>
      </c>
      <c r="J24" t="str">
        <f t="shared" si="0"/>
        <v>May</v>
      </c>
      <c r="K24" s="3">
        <f t="shared" si="1"/>
        <v>2024</v>
      </c>
      <c r="L24" s="2">
        <v>3.2562500000000001</v>
      </c>
      <c r="M24" t="s">
        <v>20</v>
      </c>
      <c r="N24">
        <v>12</v>
      </c>
      <c r="O24">
        <v>100</v>
      </c>
      <c r="P24" t="str">
        <f t="shared" si="2"/>
        <v>Fully Finished</v>
      </c>
      <c r="Q24">
        <v>21</v>
      </c>
      <c r="R24" t="s">
        <v>34</v>
      </c>
    </row>
    <row r="25" spans="1:18" x14ac:dyDescent="0.2">
      <c r="A25" t="s">
        <v>195</v>
      </c>
      <c r="B25" t="s">
        <v>190</v>
      </c>
      <c r="C25" t="s">
        <v>340</v>
      </c>
      <c r="D25" t="s">
        <v>342</v>
      </c>
      <c r="E25">
        <v>2010</v>
      </c>
      <c r="G25" t="s">
        <v>91</v>
      </c>
      <c r="H25"/>
      <c r="I25" s="1">
        <v>45293</v>
      </c>
      <c r="J25" t="str">
        <f t="shared" si="0"/>
        <v>January</v>
      </c>
      <c r="K25" s="3">
        <f t="shared" si="1"/>
        <v>2024</v>
      </c>
      <c r="L25" s="2">
        <v>3.1729166666666702</v>
      </c>
      <c r="M25" t="s">
        <v>20</v>
      </c>
      <c r="N25">
        <v>12</v>
      </c>
      <c r="O25">
        <v>99</v>
      </c>
      <c r="P25" t="str">
        <f t="shared" si="2"/>
        <v>Nearly There (75–99%)</v>
      </c>
      <c r="Q25">
        <v>21</v>
      </c>
      <c r="R25" t="s">
        <v>34</v>
      </c>
    </row>
    <row r="26" spans="1:18" x14ac:dyDescent="0.2">
      <c r="A26" t="s">
        <v>195</v>
      </c>
      <c r="B26" t="s">
        <v>190</v>
      </c>
      <c r="C26" t="s">
        <v>340</v>
      </c>
      <c r="D26" t="s">
        <v>342</v>
      </c>
      <c r="E26">
        <v>2010</v>
      </c>
      <c r="G26" t="s">
        <v>91</v>
      </c>
      <c r="H26"/>
      <c r="I26" s="1">
        <v>45200</v>
      </c>
      <c r="J26" t="str">
        <f t="shared" si="0"/>
        <v>October</v>
      </c>
      <c r="K26" s="3">
        <f t="shared" si="1"/>
        <v>2023</v>
      </c>
      <c r="L26" s="2">
        <v>3.2979166666666702</v>
      </c>
      <c r="M26" t="s">
        <v>20</v>
      </c>
      <c r="N26">
        <v>12</v>
      </c>
      <c r="O26">
        <v>100</v>
      </c>
      <c r="P26" t="str">
        <f t="shared" si="2"/>
        <v>Fully Finished</v>
      </c>
      <c r="Q26">
        <v>12</v>
      </c>
      <c r="R26" t="s">
        <v>34</v>
      </c>
    </row>
    <row r="27" spans="1:18" x14ac:dyDescent="0.2">
      <c r="A27" t="s">
        <v>195</v>
      </c>
      <c r="B27" t="s">
        <v>190</v>
      </c>
      <c r="C27" t="s">
        <v>340</v>
      </c>
      <c r="D27" t="s">
        <v>342</v>
      </c>
      <c r="E27">
        <v>2010</v>
      </c>
      <c r="G27" t="s">
        <v>91</v>
      </c>
      <c r="H27"/>
      <c r="I27" s="1">
        <v>45108</v>
      </c>
      <c r="J27" t="str">
        <f t="shared" si="0"/>
        <v>July</v>
      </c>
      <c r="K27" s="3">
        <f t="shared" si="1"/>
        <v>2023</v>
      </c>
      <c r="L27" s="2">
        <v>3.1312500000000001</v>
      </c>
      <c r="M27" t="s">
        <v>20</v>
      </c>
      <c r="N27">
        <v>12</v>
      </c>
      <c r="O27">
        <v>98</v>
      </c>
      <c r="P27" t="str">
        <f t="shared" si="2"/>
        <v>Nearly There (75–99%)</v>
      </c>
      <c r="Q27">
        <v>21</v>
      </c>
      <c r="R27" t="s">
        <v>34</v>
      </c>
    </row>
    <row r="28" spans="1:18" x14ac:dyDescent="0.2">
      <c r="A28" t="s">
        <v>195</v>
      </c>
      <c r="B28" t="s">
        <v>190</v>
      </c>
      <c r="C28" t="s">
        <v>340</v>
      </c>
      <c r="D28" t="s">
        <v>342</v>
      </c>
      <c r="E28">
        <v>2010</v>
      </c>
      <c r="G28" t="s">
        <v>91</v>
      </c>
      <c r="H28"/>
      <c r="I28" s="1">
        <v>45018</v>
      </c>
      <c r="J28" t="str">
        <f t="shared" si="0"/>
        <v>April</v>
      </c>
      <c r="K28" s="3">
        <f t="shared" si="1"/>
        <v>2023</v>
      </c>
      <c r="L28" s="2">
        <v>3.21458333333333</v>
      </c>
      <c r="M28" t="s">
        <v>20</v>
      </c>
      <c r="N28">
        <v>12</v>
      </c>
      <c r="O28">
        <v>100</v>
      </c>
      <c r="P28" t="str">
        <f t="shared" si="2"/>
        <v>Fully Finished</v>
      </c>
      <c r="Q28">
        <v>21</v>
      </c>
      <c r="R28" t="s">
        <v>34</v>
      </c>
    </row>
    <row r="29" spans="1:18" x14ac:dyDescent="0.2">
      <c r="A29" t="s">
        <v>242</v>
      </c>
      <c r="B29" t="s">
        <v>243</v>
      </c>
      <c r="C29" t="s">
        <v>244</v>
      </c>
      <c r="D29" t="s">
        <v>334</v>
      </c>
      <c r="E29">
        <v>2010</v>
      </c>
      <c r="F29">
        <v>4</v>
      </c>
      <c r="G29" t="s">
        <v>93</v>
      </c>
      <c r="H29">
        <v>9780141962276</v>
      </c>
      <c r="I29" s="1">
        <v>45362</v>
      </c>
      <c r="J29" t="str">
        <f t="shared" si="0"/>
        <v>March</v>
      </c>
      <c r="K29" s="3">
        <f t="shared" si="1"/>
        <v>2024</v>
      </c>
      <c r="L29" s="2">
        <v>4.08958333333333</v>
      </c>
      <c r="M29" t="s">
        <v>20</v>
      </c>
      <c r="N29">
        <v>11</v>
      </c>
      <c r="O29">
        <v>99</v>
      </c>
      <c r="P29" t="str">
        <f t="shared" si="2"/>
        <v>Nearly There (75–99%)</v>
      </c>
      <c r="Q29">
        <v>21</v>
      </c>
      <c r="R29" t="s">
        <v>34</v>
      </c>
    </row>
    <row r="30" spans="1:18" x14ac:dyDescent="0.2">
      <c r="A30" t="s">
        <v>258</v>
      </c>
      <c r="B30" t="s">
        <v>243</v>
      </c>
      <c r="C30" t="s">
        <v>244</v>
      </c>
      <c r="D30" t="s">
        <v>334</v>
      </c>
      <c r="E30">
        <v>2010</v>
      </c>
      <c r="F30">
        <v>5</v>
      </c>
      <c r="G30" t="s">
        <v>93</v>
      </c>
      <c r="H30">
        <v>9780141962290</v>
      </c>
      <c r="I30" s="1">
        <v>45403</v>
      </c>
      <c r="J30" t="str">
        <f t="shared" si="0"/>
        <v>April</v>
      </c>
      <c r="K30" s="3">
        <f t="shared" si="1"/>
        <v>2024</v>
      </c>
      <c r="L30" s="2">
        <v>4.5479166666666702</v>
      </c>
      <c r="M30" t="s">
        <v>20</v>
      </c>
      <c r="N30">
        <v>11</v>
      </c>
      <c r="O30">
        <v>100</v>
      </c>
      <c r="P30" t="str">
        <f t="shared" si="2"/>
        <v>Fully Finished</v>
      </c>
      <c r="Q30">
        <v>21</v>
      </c>
      <c r="R30" t="s">
        <v>34</v>
      </c>
    </row>
    <row r="31" spans="1:18" x14ac:dyDescent="0.2">
      <c r="A31" t="s">
        <v>263</v>
      </c>
      <c r="B31" t="s">
        <v>243</v>
      </c>
      <c r="C31" t="s">
        <v>244</v>
      </c>
      <c r="D31" t="s">
        <v>334</v>
      </c>
      <c r="E31">
        <v>2010</v>
      </c>
      <c r="F31">
        <v>1</v>
      </c>
      <c r="G31" t="s">
        <v>93</v>
      </c>
      <c r="H31">
        <v>9780141961941</v>
      </c>
      <c r="I31" s="1">
        <v>45591</v>
      </c>
      <c r="J31" t="str">
        <f t="shared" si="0"/>
        <v>October</v>
      </c>
      <c r="K31" s="3">
        <f t="shared" si="1"/>
        <v>2024</v>
      </c>
      <c r="L31" s="2">
        <v>4.71458333333333</v>
      </c>
      <c r="M31" t="s">
        <v>20</v>
      </c>
      <c r="N31">
        <v>10</v>
      </c>
      <c r="O31">
        <v>88</v>
      </c>
      <c r="P31" t="str">
        <f t="shared" si="2"/>
        <v>Nearly There (75–99%)</v>
      </c>
      <c r="Q31">
        <v>13</v>
      </c>
      <c r="R31" t="s">
        <v>34</v>
      </c>
    </row>
    <row r="32" spans="1:18" x14ac:dyDescent="0.2">
      <c r="A32" t="s">
        <v>282</v>
      </c>
      <c r="B32" t="s">
        <v>243</v>
      </c>
      <c r="C32" t="s">
        <v>244</v>
      </c>
      <c r="D32" t="s">
        <v>334</v>
      </c>
      <c r="E32">
        <v>2010</v>
      </c>
      <c r="F32">
        <v>1</v>
      </c>
      <c r="G32" t="s">
        <v>93</v>
      </c>
      <c r="H32">
        <v>9780141962269</v>
      </c>
      <c r="I32" s="1">
        <v>45039</v>
      </c>
      <c r="J32" t="str">
        <f t="shared" si="0"/>
        <v>April</v>
      </c>
      <c r="K32" s="3">
        <f t="shared" si="1"/>
        <v>2023</v>
      </c>
      <c r="L32" s="2">
        <v>5.0062499999999996</v>
      </c>
      <c r="M32" t="s">
        <v>20</v>
      </c>
      <c r="N32">
        <v>8</v>
      </c>
      <c r="O32">
        <v>99</v>
      </c>
      <c r="P32" t="str">
        <f t="shared" si="2"/>
        <v>Nearly There (75–99%)</v>
      </c>
      <c r="Q32">
        <v>21</v>
      </c>
      <c r="R32" t="s">
        <v>34</v>
      </c>
    </row>
    <row r="33" spans="1:18" x14ac:dyDescent="0.2">
      <c r="A33" t="s">
        <v>294</v>
      </c>
      <c r="B33" t="s">
        <v>243</v>
      </c>
      <c r="C33" t="s">
        <v>244</v>
      </c>
      <c r="D33" t="s">
        <v>334</v>
      </c>
      <c r="E33">
        <v>2010</v>
      </c>
      <c r="F33">
        <v>3</v>
      </c>
      <c r="G33" t="s">
        <v>93</v>
      </c>
      <c r="H33">
        <v>9780141962283</v>
      </c>
      <c r="I33" s="1">
        <v>45338</v>
      </c>
      <c r="J33" t="str">
        <f t="shared" si="0"/>
        <v>February</v>
      </c>
      <c r="K33" s="3">
        <f t="shared" si="1"/>
        <v>2024</v>
      </c>
      <c r="L33" s="2">
        <v>5.33958333333333</v>
      </c>
      <c r="M33" t="s">
        <v>20</v>
      </c>
      <c r="N33">
        <v>9</v>
      </c>
      <c r="O33">
        <v>100</v>
      </c>
      <c r="P33" t="str">
        <f t="shared" si="2"/>
        <v>Fully Finished</v>
      </c>
      <c r="Q33">
        <v>21</v>
      </c>
      <c r="R33" t="s">
        <v>34</v>
      </c>
    </row>
    <row r="34" spans="1:18" x14ac:dyDescent="0.2">
      <c r="A34" t="s">
        <v>92</v>
      </c>
      <c r="B34" t="s">
        <v>70</v>
      </c>
      <c r="C34" t="s">
        <v>17</v>
      </c>
      <c r="D34" t="s">
        <v>29</v>
      </c>
      <c r="E34">
        <v>2011</v>
      </c>
      <c r="F34">
        <v>2</v>
      </c>
      <c r="G34" t="s">
        <v>71</v>
      </c>
      <c r="H34">
        <v>9781407041520</v>
      </c>
      <c r="I34" s="1">
        <v>44715</v>
      </c>
      <c r="J34" t="str">
        <f t="shared" ref="J34:J65" si="3">TEXT(I34,"mmmm")</f>
        <v>June</v>
      </c>
      <c r="K34" s="3">
        <f t="shared" ref="K34:K65" si="4">YEAR(I34)</f>
        <v>2022</v>
      </c>
      <c r="L34" s="2">
        <v>1.2562500000000001</v>
      </c>
      <c r="M34" t="s">
        <v>20</v>
      </c>
      <c r="N34">
        <v>9</v>
      </c>
      <c r="O34">
        <v>97</v>
      </c>
      <c r="P34" t="str">
        <f t="shared" ref="P34:P65" si="5">IF(O34=100,"Fully Finished",IF(O34&gt;=75,"Nearly There (75–99%)",IF(O34&gt;=25,"Got Going (25–74%)","Barely Started (0–24%)")))</f>
        <v>Nearly There (75–99%)</v>
      </c>
      <c r="Q34">
        <v>20</v>
      </c>
      <c r="R34" t="s">
        <v>34</v>
      </c>
    </row>
    <row r="35" spans="1:18" x14ac:dyDescent="0.2">
      <c r="A35" t="s">
        <v>92</v>
      </c>
      <c r="B35" t="s">
        <v>70</v>
      </c>
      <c r="C35" t="s">
        <v>17</v>
      </c>
      <c r="D35" t="s">
        <v>29</v>
      </c>
      <c r="E35">
        <v>2011</v>
      </c>
      <c r="F35">
        <v>2</v>
      </c>
      <c r="G35" t="s">
        <v>93</v>
      </c>
      <c r="H35">
        <v>9781407047171</v>
      </c>
      <c r="I35" s="1">
        <v>45017</v>
      </c>
      <c r="J35" t="str">
        <f t="shared" si="3"/>
        <v>April</v>
      </c>
      <c r="K35" s="3">
        <f t="shared" si="4"/>
        <v>2023</v>
      </c>
      <c r="L35" s="2">
        <v>1.2979166666666699</v>
      </c>
      <c r="M35" t="s">
        <v>20</v>
      </c>
      <c r="N35">
        <v>9</v>
      </c>
      <c r="O35">
        <v>100</v>
      </c>
      <c r="P35" t="str">
        <f t="shared" si="5"/>
        <v>Fully Finished</v>
      </c>
      <c r="Q35">
        <v>21</v>
      </c>
      <c r="R35" t="s">
        <v>34</v>
      </c>
    </row>
    <row r="36" spans="1:18" x14ac:dyDescent="0.2">
      <c r="A36" t="s">
        <v>98</v>
      </c>
      <c r="B36" t="s">
        <v>70</v>
      </c>
      <c r="C36" t="s">
        <v>17</v>
      </c>
      <c r="D36" t="s">
        <v>29</v>
      </c>
      <c r="E36">
        <v>2011</v>
      </c>
      <c r="F36">
        <v>1</v>
      </c>
      <c r="G36" t="s">
        <v>71</v>
      </c>
      <c r="H36"/>
      <c r="I36" s="1">
        <v>45585</v>
      </c>
      <c r="J36" t="str">
        <f t="shared" si="3"/>
        <v>October</v>
      </c>
      <c r="K36" s="3">
        <f t="shared" si="4"/>
        <v>2024</v>
      </c>
      <c r="L36" s="2">
        <v>1.46458333333333</v>
      </c>
      <c r="M36" t="s">
        <v>20</v>
      </c>
      <c r="N36">
        <v>16</v>
      </c>
      <c r="O36">
        <v>99</v>
      </c>
      <c r="P36" t="str">
        <f t="shared" si="5"/>
        <v>Nearly There (75–99%)</v>
      </c>
      <c r="Q36">
        <v>17</v>
      </c>
      <c r="R36" t="s">
        <v>21</v>
      </c>
    </row>
    <row r="37" spans="1:18" x14ac:dyDescent="0.2">
      <c r="A37" t="s">
        <v>98</v>
      </c>
      <c r="B37" t="s">
        <v>70</v>
      </c>
      <c r="C37" t="s">
        <v>17</v>
      </c>
      <c r="D37" t="s">
        <v>29</v>
      </c>
      <c r="E37">
        <v>2011</v>
      </c>
      <c r="G37" t="s">
        <v>71</v>
      </c>
      <c r="H37">
        <v>9780807219645</v>
      </c>
      <c r="I37" s="1">
        <v>45010</v>
      </c>
      <c r="J37" t="str">
        <f t="shared" si="3"/>
        <v>March</v>
      </c>
      <c r="K37" s="3">
        <f t="shared" si="4"/>
        <v>2023</v>
      </c>
      <c r="L37" s="2">
        <v>1.3812500000000001</v>
      </c>
      <c r="M37" t="s">
        <v>20</v>
      </c>
      <c r="N37">
        <v>16</v>
      </c>
      <c r="O37">
        <v>28</v>
      </c>
      <c r="P37" t="str">
        <f t="shared" si="5"/>
        <v>Got Going (25–74%)</v>
      </c>
      <c r="Q37">
        <v>13</v>
      </c>
      <c r="R37" t="s">
        <v>34</v>
      </c>
    </row>
    <row r="38" spans="1:18" x14ac:dyDescent="0.2">
      <c r="A38" t="s">
        <v>98</v>
      </c>
      <c r="B38" t="s">
        <v>70</v>
      </c>
      <c r="C38" t="s">
        <v>17</v>
      </c>
      <c r="D38" t="s">
        <v>29</v>
      </c>
      <c r="E38">
        <v>2011</v>
      </c>
      <c r="F38">
        <v>1</v>
      </c>
      <c r="G38" t="s">
        <v>71</v>
      </c>
      <c r="H38">
        <v>9781448197736</v>
      </c>
      <c r="I38" s="1">
        <v>44330</v>
      </c>
      <c r="J38" t="str">
        <f t="shared" si="3"/>
        <v>May</v>
      </c>
      <c r="K38" s="3">
        <f t="shared" si="4"/>
        <v>2021</v>
      </c>
      <c r="L38" s="2">
        <v>1.5062500000000001</v>
      </c>
      <c r="M38" t="s">
        <v>20</v>
      </c>
      <c r="N38">
        <v>16</v>
      </c>
      <c r="O38">
        <v>100</v>
      </c>
      <c r="P38" t="str">
        <f t="shared" si="5"/>
        <v>Fully Finished</v>
      </c>
      <c r="Q38">
        <v>20</v>
      </c>
      <c r="R38" t="s">
        <v>34</v>
      </c>
    </row>
    <row r="39" spans="1:18" x14ac:dyDescent="0.2">
      <c r="A39" t="s">
        <v>134</v>
      </c>
      <c r="B39" t="s">
        <v>70</v>
      </c>
      <c r="C39" t="s">
        <v>17</v>
      </c>
      <c r="D39" t="s">
        <v>29</v>
      </c>
      <c r="E39">
        <v>2011</v>
      </c>
      <c r="F39">
        <v>4.0999999999999996</v>
      </c>
      <c r="G39" t="s">
        <v>103</v>
      </c>
      <c r="H39">
        <v>9781446453605</v>
      </c>
      <c r="I39" s="1">
        <v>45095</v>
      </c>
      <c r="J39" t="str">
        <f t="shared" si="3"/>
        <v>June</v>
      </c>
      <c r="K39" s="3">
        <f t="shared" si="4"/>
        <v>2023</v>
      </c>
      <c r="L39" s="2">
        <v>2.0479166666666702</v>
      </c>
      <c r="M39" t="s">
        <v>20</v>
      </c>
      <c r="N39">
        <v>16</v>
      </c>
      <c r="O39">
        <v>97</v>
      </c>
      <c r="P39" t="str">
        <f t="shared" si="5"/>
        <v>Nearly There (75–99%)</v>
      </c>
      <c r="Q39">
        <v>21</v>
      </c>
      <c r="R39" t="s">
        <v>34</v>
      </c>
    </row>
    <row r="40" spans="1:18" x14ac:dyDescent="0.2">
      <c r="A40" t="s">
        <v>135</v>
      </c>
      <c r="B40" t="s">
        <v>70</v>
      </c>
      <c r="C40" t="s">
        <v>17</v>
      </c>
      <c r="D40" t="s">
        <v>29</v>
      </c>
      <c r="E40">
        <v>2011</v>
      </c>
      <c r="F40">
        <v>4.2</v>
      </c>
      <c r="G40" t="s">
        <v>103</v>
      </c>
      <c r="H40">
        <v>9781446453612</v>
      </c>
      <c r="I40" s="1">
        <v>45433</v>
      </c>
      <c r="J40" t="str">
        <f t="shared" si="3"/>
        <v>May</v>
      </c>
      <c r="K40" s="3">
        <f t="shared" si="4"/>
        <v>2024</v>
      </c>
      <c r="L40" s="2">
        <v>2.1312500000000001</v>
      </c>
      <c r="M40" t="s">
        <v>20</v>
      </c>
      <c r="N40">
        <v>16</v>
      </c>
      <c r="O40">
        <v>100</v>
      </c>
      <c r="P40" t="str">
        <f t="shared" si="5"/>
        <v>Fully Finished</v>
      </c>
      <c r="Q40">
        <v>21</v>
      </c>
      <c r="R40" t="s">
        <v>34</v>
      </c>
    </row>
    <row r="41" spans="1:18" x14ac:dyDescent="0.2">
      <c r="A41" t="s">
        <v>283</v>
      </c>
      <c r="B41" t="s">
        <v>284</v>
      </c>
      <c r="C41" t="s">
        <v>341</v>
      </c>
      <c r="D41" t="s">
        <v>285</v>
      </c>
      <c r="E41">
        <v>2011</v>
      </c>
      <c r="G41" t="s">
        <v>152</v>
      </c>
      <c r="H41" t="s">
        <v>286</v>
      </c>
      <c r="I41" s="1">
        <v>44013</v>
      </c>
      <c r="J41" t="str">
        <f t="shared" si="3"/>
        <v>July</v>
      </c>
      <c r="K41" s="3">
        <f t="shared" si="4"/>
        <v>2020</v>
      </c>
      <c r="L41" s="2">
        <v>5.1312499999999996</v>
      </c>
      <c r="M41" t="s">
        <v>20</v>
      </c>
      <c r="N41">
        <v>7</v>
      </c>
      <c r="O41">
        <v>100</v>
      </c>
      <c r="P41" t="str">
        <f t="shared" si="5"/>
        <v>Fully Finished</v>
      </c>
      <c r="Q41">
        <v>21</v>
      </c>
      <c r="R41" t="s">
        <v>21</v>
      </c>
    </row>
    <row r="42" spans="1:18" x14ac:dyDescent="0.2">
      <c r="A42" t="s">
        <v>283</v>
      </c>
      <c r="B42" t="s">
        <v>284</v>
      </c>
      <c r="C42" t="s">
        <v>341</v>
      </c>
      <c r="D42" t="s">
        <v>285</v>
      </c>
      <c r="E42">
        <v>2011</v>
      </c>
      <c r="G42" t="s">
        <v>152</v>
      </c>
      <c r="H42">
        <v>9780099570148</v>
      </c>
      <c r="I42" s="1">
        <v>43953</v>
      </c>
      <c r="J42" t="str">
        <f t="shared" si="3"/>
        <v>May</v>
      </c>
      <c r="K42" s="3">
        <f t="shared" si="4"/>
        <v>2020</v>
      </c>
      <c r="L42" s="2">
        <v>5.08958333333333</v>
      </c>
      <c r="M42" t="s">
        <v>20</v>
      </c>
      <c r="N42">
        <v>7</v>
      </c>
      <c r="O42">
        <v>20</v>
      </c>
      <c r="P42" t="str">
        <f t="shared" si="5"/>
        <v>Barely Started (0–24%)</v>
      </c>
      <c r="Q42">
        <v>19</v>
      </c>
      <c r="R42" t="s">
        <v>21</v>
      </c>
    </row>
    <row r="43" spans="1:18" x14ac:dyDescent="0.2">
      <c r="A43" t="s">
        <v>64</v>
      </c>
      <c r="B43" t="s">
        <v>65</v>
      </c>
      <c r="C43" t="s">
        <v>343</v>
      </c>
      <c r="D43" t="s">
        <v>66</v>
      </c>
      <c r="E43">
        <v>2012</v>
      </c>
      <c r="F43">
        <v>2</v>
      </c>
      <c r="G43" t="s">
        <v>67</v>
      </c>
      <c r="H43">
        <v>9780007422685</v>
      </c>
      <c r="I43" s="1">
        <v>44531</v>
      </c>
      <c r="J43" t="str">
        <f t="shared" si="3"/>
        <v>December</v>
      </c>
      <c r="K43" s="3">
        <f t="shared" si="4"/>
        <v>2021</v>
      </c>
      <c r="L43" s="2">
        <v>0.88124999999999998</v>
      </c>
      <c r="M43" t="s">
        <v>20</v>
      </c>
      <c r="N43">
        <v>23</v>
      </c>
      <c r="O43">
        <v>73</v>
      </c>
      <c r="P43" t="str">
        <f t="shared" si="5"/>
        <v>Got Going (25–74%)</v>
      </c>
      <c r="Q43">
        <v>21</v>
      </c>
      <c r="R43" t="s">
        <v>21</v>
      </c>
    </row>
    <row r="44" spans="1:18" x14ac:dyDescent="0.2">
      <c r="A44" t="s">
        <v>64</v>
      </c>
      <c r="B44" t="s">
        <v>65</v>
      </c>
      <c r="C44" t="s">
        <v>343</v>
      </c>
      <c r="D44" t="s">
        <v>66</v>
      </c>
      <c r="E44">
        <v>2012</v>
      </c>
      <c r="F44">
        <v>2</v>
      </c>
      <c r="G44" t="s">
        <v>67</v>
      </c>
      <c r="H44" t="s">
        <v>68</v>
      </c>
      <c r="I44" s="1">
        <v>44228</v>
      </c>
      <c r="J44" t="str">
        <f t="shared" si="3"/>
        <v>February</v>
      </c>
      <c r="K44" s="3">
        <f t="shared" si="4"/>
        <v>2021</v>
      </c>
      <c r="L44" s="2">
        <v>0.92291666666666705</v>
      </c>
      <c r="M44" t="s">
        <v>20</v>
      </c>
      <c r="N44">
        <v>23</v>
      </c>
      <c r="O44">
        <v>22</v>
      </c>
      <c r="P44" t="str">
        <f t="shared" si="5"/>
        <v>Barely Started (0–24%)</v>
      </c>
      <c r="Q44">
        <v>21</v>
      </c>
      <c r="R44" t="s">
        <v>21</v>
      </c>
    </row>
    <row r="45" spans="1:18" x14ac:dyDescent="0.2">
      <c r="A45" t="s">
        <v>139</v>
      </c>
      <c r="B45" t="s">
        <v>140</v>
      </c>
      <c r="C45" t="s">
        <v>37</v>
      </c>
      <c r="D45" t="s">
        <v>335</v>
      </c>
      <c r="E45">
        <v>2012</v>
      </c>
      <c r="G45" t="s">
        <v>141</v>
      </c>
      <c r="H45">
        <v>9780718197155</v>
      </c>
      <c r="I45" s="1">
        <v>45796</v>
      </c>
      <c r="J45" t="str">
        <f t="shared" si="3"/>
        <v>May</v>
      </c>
      <c r="K45" s="3">
        <f t="shared" si="4"/>
        <v>2025</v>
      </c>
      <c r="L45" s="2">
        <v>2.21458333333333</v>
      </c>
      <c r="M45" t="s">
        <v>20</v>
      </c>
      <c r="N45">
        <v>11</v>
      </c>
      <c r="O45">
        <v>98</v>
      </c>
      <c r="P45" t="str">
        <f t="shared" si="5"/>
        <v>Nearly There (75–99%)</v>
      </c>
      <c r="Q45">
        <v>21</v>
      </c>
      <c r="R45" t="s">
        <v>34</v>
      </c>
    </row>
    <row r="46" spans="1:18" x14ac:dyDescent="0.2">
      <c r="A46" t="s">
        <v>157</v>
      </c>
      <c r="B46" t="s">
        <v>86</v>
      </c>
      <c r="C46" t="s">
        <v>340</v>
      </c>
      <c r="D46" t="s">
        <v>44</v>
      </c>
      <c r="E46">
        <v>2014</v>
      </c>
      <c r="G46" t="s">
        <v>158</v>
      </c>
      <c r="H46">
        <v>9780007595204</v>
      </c>
      <c r="I46" s="1">
        <v>45809</v>
      </c>
      <c r="J46" t="str">
        <f t="shared" si="3"/>
        <v>June</v>
      </c>
      <c r="K46" s="3">
        <f t="shared" si="4"/>
        <v>2025</v>
      </c>
      <c r="L46" s="2">
        <v>2.5062500000000001</v>
      </c>
      <c r="M46" t="s">
        <v>20</v>
      </c>
      <c r="N46">
        <v>7</v>
      </c>
      <c r="O46">
        <v>100</v>
      </c>
      <c r="P46" t="str">
        <f t="shared" si="5"/>
        <v>Fully Finished</v>
      </c>
      <c r="Q46">
        <v>21</v>
      </c>
      <c r="R46" t="s">
        <v>21</v>
      </c>
    </row>
    <row r="47" spans="1:18" x14ac:dyDescent="0.2">
      <c r="A47" t="s">
        <v>207</v>
      </c>
      <c r="B47" t="s">
        <v>208</v>
      </c>
      <c r="C47" t="s">
        <v>340</v>
      </c>
      <c r="D47" t="s">
        <v>170</v>
      </c>
      <c r="E47">
        <v>2014</v>
      </c>
      <c r="G47" t="s">
        <v>209</v>
      </c>
      <c r="H47">
        <v>9781478924302</v>
      </c>
      <c r="I47" s="1">
        <v>45501</v>
      </c>
      <c r="J47" t="str">
        <f t="shared" si="3"/>
        <v>July</v>
      </c>
      <c r="K47" s="3">
        <f t="shared" si="4"/>
        <v>2024</v>
      </c>
      <c r="L47" s="2">
        <v>3.46458333333333</v>
      </c>
      <c r="M47" t="s">
        <v>20</v>
      </c>
      <c r="N47">
        <v>15</v>
      </c>
      <c r="O47">
        <v>100</v>
      </c>
      <c r="P47" t="str">
        <f t="shared" si="5"/>
        <v>Fully Finished</v>
      </c>
      <c r="Q47">
        <v>20</v>
      </c>
      <c r="R47" t="s">
        <v>21</v>
      </c>
    </row>
    <row r="48" spans="1:18" x14ac:dyDescent="0.2">
      <c r="A48" t="s">
        <v>257</v>
      </c>
      <c r="B48" t="s">
        <v>86</v>
      </c>
      <c r="C48" t="s">
        <v>340</v>
      </c>
      <c r="D48" t="s">
        <v>44</v>
      </c>
      <c r="E48">
        <v>2014</v>
      </c>
      <c r="F48">
        <v>27</v>
      </c>
      <c r="G48" t="s">
        <v>158</v>
      </c>
      <c r="H48">
        <v>9780007595464</v>
      </c>
      <c r="I48" s="1">
        <v>45664</v>
      </c>
      <c r="J48" t="str">
        <f t="shared" si="3"/>
        <v>January</v>
      </c>
      <c r="K48" s="3">
        <f t="shared" si="4"/>
        <v>2025</v>
      </c>
      <c r="L48" s="2">
        <v>4.5062499999999996</v>
      </c>
      <c r="M48" t="s">
        <v>20</v>
      </c>
      <c r="N48">
        <v>9</v>
      </c>
      <c r="O48">
        <v>58</v>
      </c>
      <c r="P48" t="str">
        <f t="shared" si="5"/>
        <v>Got Going (25–74%)</v>
      </c>
      <c r="Q48">
        <v>21</v>
      </c>
      <c r="R48" t="s">
        <v>34</v>
      </c>
    </row>
    <row r="49" spans="1:18" x14ac:dyDescent="0.2">
      <c r="A49" t="s">
        <v>22</v>
      </c>
      <c r="B49" t="s">
        <v>16</v>
      </c>
      <c r="C49" t="s">
        <v>17</v>
      </c>
      <c r="D49" t="s">
        <v>18</v>
      </c>
      <c r="E49">
        <v>2015</v>
      </c>
      <c r="F49">
        <v>1</v>
      </c>
      <c r="G49" t="s">
        <v>19</v>
      </c>
      <c r="H49"/>
      <c r="I49" s="1">
        <v>44360</v>
      </c>
      <c r="J49" t="str">
        <f t="shared" si="3"/>
        <v>June</v>
      </c>
      <c r="K49" s="3">
        <f t="shared" si="4"/>
        <v>2021</v>
      </c>
      <c r="L49" s="2">
        <v>0.25624999999999998</v>
      </c>
      <c r="M49" t="s">
        <v>20</v>
      </c>
      <c r="N49">
        <v>16</v>
      </c>
      <c r="O49">
        <v>100</v>
      </c>
      <c r="P49" t="str">
        <f t="shared" si="5"/>
        <v>Fully Finished</v>
      </c>
      <c r="Q49">
        <v>21</v>
      </c>
      <c r="R49" t="s">
        <v>21</v>
      </c>
    </row>
    <row r="50" spans="1:18" x14ac:dyDescent="0.2">
      <c r="A50" t="s">
        <v>24</v>
      </c>
      <c r="B50" t="s">
        <v>25</v>
      </c>
      <c r="C50" t="s">
        <v>17</v>
      </c>
      <c r="D50" t="s">
        <v>26</v>
      </c>
      <c r="E50">
        <v>2015</v>
      </c>
      <c r="F50">
        <v>1</v>
      </c>
      <c r="H50"/>
      <c r="I50" s="1">
        <v>43836</v>
      </c>
      <c r="J50" t="str">
        <f t="shared" si="3"/>
        <v>January</v>
      </c>
      <c r="K50" s="3">
        <f t="shared" si="4"/>
        <v>2020</v>
      </c>
      <c r="L50" s="2">
        <v>0.33958333333333302</v>
      </c>
      <c r="M50" t="s">
        <v>20</v>
      </c>
      <c r="N50">
        <v>34</v>
      </c>
      <c r="O50">
        <v>100</v>
      </c>
      <c r="P50" t="str">
        <f t="shared" si="5"/>
        <v>Fully Finished</v>
      </c>
      <c r="Q50">
        <v>21</v>
      </c>
      <c r="R50" t="s">
        <v>21</v>
      </c>
    </row>
    <row r="51" spans="1:18" x14ac:dyDescent="0.2">
      <c r="A51" t="s">
        <v>58</v>
      </c>
      <c r="B51" t="s">
        <v>59</v>
      </c>
      <c r="C51" t="s">
        <v>17</v>
      </c>
      <c r="D51" t="s">
        <v>316</v>
      </c>
      <c r="E51">
        <v>2015</v>
      </c>
      <c r="G51" t="s">
        <v>60</v>
      </c>
      <c r="H51">
        <v>9781785291562</v>
      </c>
      <c r="I51" s="1">
        <v>45335</v>
      </c>
      <c r="J51" t="str">
        <f t="shared" si="3"/>
        <v>February</v>
      </c>
      <c r="K51" s="3">
        <f t="shared" si="4"/>
        <v>2024</v>
      </c>
      <c r="L51" s="2">
        <v>0.79791666666666705</v>
      </c>
      <c r="M51" t="s">
        <v>20</v>
      </c>
      <c r="N51">
        <v>2</v>
      </c>
      <c r="O51">
        <v>100</v>
      </c>
      <c r="P51" t="str">
        <f t="shared" si="5"/>
        <v>Fully Finished</v>
      </c>
      <c r="Q51">
        <v>21</v>
      </c>
      <c r="R51" t="s">
        <v>34</v>
      </c>
    </row>
    <row r="52" spans="1:18" x14ac:dyDescent="0.2">
      <c r="A52" t="s">
        <v>235</v>
      </c>
      <c r="B52" t="s">
        <v>32</v>
      </c>
      <c r="C52" t="s">
        <v>17</v>
      </c>
      <c r="D52" t="s">
        <v>316</v>
      </c>
      <c r="E52">
        <v>2015</v>
      </c>
      <c r="G52" t="s">
        <v>97</v>
      </c>
      <c r="H52">
        <v>9781483093901</v>
      </c>
      <c r="I52" s="1">
        <v>45346</v>
      </c>
      <c r="J52" t="str">
        <f t="shared" si="3"/>
        <v>February</v>
      </c>
      <c r="K52" s="3">
        <f t="shared" si="4"/>
        <v>2024</v>
      </c>
      <c r="L52" s="2">
        <v>3.9229166666666702</v>
      </c>
      <c r="M52" t="s">
        <v>20</v>
      </c>
      <c r="N52">
        <v>0.5</v>
      </c>
      <c r="O52">
        <v>100</v>
      </c>
      <c r="P52" t="str">
        <f t="shared" si="5"/>
        <v>Fully Finished</v>
      </c>
      <c r="Q52">
        <v>21</v>
      </c>
      <c r="R52" t="s">
        <v>34</v>
      </c>
    </row>
    <row r="53" spans="1:18" x14ac:dyDescent="0.2">
      <c r="A53" t="s">
        <v>250</v>
      </c>
      <c r="B53" t="s">
        <v>32</v>
      </c>
      <c r="C53" t="s">
        <v>17</v>
      </c>
      <c r="D53" t="s">
        <v>316</v>
      </c>
      <c r="E53">
        <v>2015</v>
      </c>
      <c r="G53" t="s">
        <v>97</v>
      </c>
      <c r="H53">
        <v>9781504604758</v>
      </c>
      <c r="I53" s="1">
        <v>45346</v>
      </c>
      <c r="J53" t="str">
        <f t="shared" si="3"/>
        <v>February</v>
      </c>
      <c r="K53" s="3">
        <f t="shared" si="4"/>
        <v>2024</v>
      </c>
      <c r="L53" s="2">
        <v>4.33958333333333</v>
      </c>
      <c r="M53" t="s">
        <v>20</v>
      </c>
      <c r="N53">
        <v>1</v>
      </c>
      <c r="O53">
        <v>100</v>
      </c>
      <c r="P53" t="str">
        <f t="shared" si="5"/>
        <v>Fully Finished</v>
      </c>
      <c r="Q53">
        <v>21</v>
      </c>
      <c r="R53" t="s">
        <v>34</v>
      </c>
    </row>
    <row r="54" spans="1:18" x14ac:dyDescent="0.2">
      <c r="A54" t="s">
        <v>15</v>
      </c>
      <c r="B54" t="s">
        <v>16</v>
      </c>
      <c r="C54" t="s">
        <v>17</v>
      </c>
      <c r="D54" t="s">
        <v>18</v>
      </c>
      <c r="E54">
        <v>2016</v>
      </c>
      <c r="F54">
        <v>2</v>
      </c>
      <c r="G54" t="s">
        <v>19</v>
      </c>
      <c r="H54"/>
      <c r="I54" s="1">
        <v>44452</v>
      </c>
      <c r="J54" t="str">
        <f t="shared" si="3"/>
        <v>September</v>
      </c>
      <c r="K54" s="3">
        <f t="shared" si="4"/>
        <v>2021</v>
      </c>
      <c r="L54" s="2">
        <v>0.21458333333333335</v>
      </c>
      <c r="M54" t="s">
        <v>20</v>
      </c>
      <c r="N54">
        <v>23</v>
      </c>
      <c r="O54">
        <v>100</v>
      </c>
      <c r="P54" t="str">
        <f t="shared" si="5"/>
        <v>Fully Finished</v>
      </c>
      <c r="Q54">
        <v>21</v>
      </c>
      <c r="R54" t="s">
        <v>21</v>
      </c>
    </row>
    <row r="55" spans="1:18" x14ac:dyDescent="0.2">
      <c r="A55" t="s">
        <v>23</v>
      </c>
      <c r="B55" t="s">
        <v>16</v>
      </c>
      <c r="C55" t="s">
        <v>17</v>
      </c>
      <c r="D55" t="s">
        <v>18</v>
      </c>
      <c r="E55">
        <v>2017</v>
      </c>
      <c r="F55">
        <v>3</v>
      </c>
      <c r="G55" t="s">
        <v>19</v>
      </c>
      <c r="H55"/>
      <c r="I55" s="1">
        <v>44536</v>
      </c>
      <c r="J55" t="str">
        <f t="shared" si="3"/>
        <v>December</v>
      </c>
      <c r="K55" s="3">
        <f t="shared" si="4"/>
        <v>2021</v>
      </c>
      <c r="L55" s="2">
        <v>0.297916666666667</v>
      </c>
      <c r="M55" t="s">
        <v>20</v>
      </c>
      <c r="N55">
        <v>25</v>
      </c>
      <c r="O55">
        <v>100</v>
      </c>
      <c r="P55" t="str">
        <f t="shared" si="5"/>
        <v>Fully Finished</v>
      </c>
      <c r="Q55">
        <v>21</v>
      </c>
      <c r="R55" t="s">
        <v>21</v>
      </c>
    </row>
    <row r="56" spans="1:18" x14ac:dyDescent="0.2">
      <c r="A56" t="s">
        <v>145</v>
      </c>
      <c r="B56" t="s">
        <v>146</v>
      </c>
      <c r="C56" t="s">
        <v>341</v>
      </c>
      <c r="D56" t="s">
        <v>147</v>
      </c>
      <c r="E56">
        <v>2017</v>
      </c>
      <c r="G56" t="s">
        <v>148</v>
      </c>
      <c r="H56" t="s">
        <v>149</v>
      </c>
      <c r="I56" s="1">
        <v>44256</v>
      </c>
      <c r="J56" t="str">
        <f t="shared" si="3"/>
        <v>March</v>
      </c>
      <c r="K56" s="3">
        <f t="shared" si="4"/>
        <v>2021</v>
      </c>
      <c r="L56" s="2">
        <v>2.33958333333333</v>
      </c>
      <c r="M56" t="s">
        <v>20</v>
      </c>
      <c r="N56">
        <v>18</v>
      </c>
      <c r="O56">
        <v>50</v>
      </c>
      <c r="P56" t="str">
        <f t="shared" si="5"/>
        <v>Got Going (25–74%)</v>
      </c>
      <c r="Q56">
        <v>21</v>
      </c>
      <c r="R56" t="s">
        <v>21</v>
      </c>
    </row>
    <row r="57" spans="1:18" x14ac:dyDescent="0.2">
      <c r="A57" t="s">
        <v>145</v>
      </c>
      <c r="B57" t="s">
        <v>146</v>
      </c>
      <c r="C57" t="s">
        <v>341</v>
      </c>
      <c r="D57" t="s">
        <v>147</v>
      </c>
      <c r="E57">
        <v>2017</v>
      </c>
      <c r="G57" t="s">
        <v>148</v>
      </c>
      <c r="H57">
        <v>9781526605824</v>
      </c>
      <c r="I57" s="1">
        <v>44228</v>
      </c>
      <c r="J57" t="str">
        <f t="shared" si="3"/>
        <v>February</v>
      </c>
      <c r="K57" s="3">
        <f t="shared" si="4"/>
        <v>2021</v>
      </c>
      <c r="L57" s="2">
        <v>2.2979166666666702</v>
      </c>
      <c r="M57" t="s">
        <v>20</v>
      </c>
      <c r="N57">
        <v>18</v>
      </c>
      <c r="O57">
        <v>44</v>
      </c>
      <c r="P57" t="str">
        <f t="shared" si="5"/>
        <v>Got Going (25–74%)</v>
      </c>
      <c r="Q57">
        <v>21</v>
      </c>
      <c r="R57" t="s">
        <v>21</v>
      </c>
    </row>
    <row r="58" spans="1:18" x14ac:dyDescent="0.2">
      <c r="A58" t="s">
        <v>162</v>
      </c>
      <c r="B58" t="s">
        <v>163</v>
      </c>
      <c r="C58" t="s">
        <v>343</v>
      </c>
      <c r="D58" t="s">
        <v>165</v>
      </c>
      <c r="E58">
        <v>2017</v>
      </c>
      <c r="F58">
        <v>1</v>
      </c>
      <c r="G58" t="s">
        <v>141</v>
      </c>
      <c r="H58">
        <v>9781405934312</v>
      </c>
      <c r="I58" s="1">
        <v>45351</v>
      </c>
      <c r="J58" t="str">
        <f t="shared" si="3"/>
        <v>February</v>
      </c>
      <c r="K58" s="3">
        <f t="shared" si="4"/>
        <v>2024</v>
      </c>
      <c r="L58" s="2">
        <v>2.6312500000000001</v>
      </c>
      <c r="M58" t="s">
        <v>20</v>
      </c>
      <c r="N58">
        <v>15</v>
      </c>
      <c r="O58">
        <v>98</v>
      </c>
      <c r="P58" t="str">
        <f t="shared" si="5"/>
        <v>Nearly There (75–99%)</v>
      </c>
      <c r="Q58">
        <v>21</v>
      </c>
      <c r="R58" t="s">
        <v>34</v>
      </c>
    </row>
    <row r="59" spans="1:18" x14ac:dyDescent="0.2">
      <c r="A59" t="s">
        <v>210</v>
      </c>
      <c r="B59" t="s">
        <v>211</v>
      </c>
      <c r="C59" t="s">
        <v>341</v>
      </c>
      <c r="D59" t="s">
        <v>212</v>
      </c>
      <c r="E59">
        <v>2017</v>
      </c>
      <c r="G59" t="s">
        <v>57</v>
      </c>
      <c r="H59"/>
      <c r="I59" s="1">
        <v>44323</v>
      </c>
      <c r="J59" t="str">
        <f t="shared" si="3"/>
        <v>May</v>
      </c>
      <c r="K59" s="3">
        <f t="shared" si="4"/>
        <v>2021</v>
      </c>
      <c r="L59" s="2">
        <v>3.5062500000000001</v>
      </c>
      <c r="M59" t="s">
        <v>20</v>
      </c>
      <c r="N59">
        <v>9</v>
      </c>
      <c r="O59">
        <v>100</v>
      </c>
      <c r="P59" t="str">
        <f t="shared" si="5"/>
        <v>Fully Finished</v>
      </c>
      <c r="Q59">
        <v>21</v>
      </c>
      <c r="R59" t="s">
        <v>21</v>
      </c>
    </row>
    <row r="60" spans="1:18" x14ac:dyDescent="0.2">
      <c r="A60" t="s">
        <v>299</v>
      </c>
      <c r="B60" t="s">
        <v>300</v>
      </c>
      <c r="C60" t="s">
        <v>349</v>
      </c>
      <c r="D60" t="s">
        <v>126</v>
      </c>
      <c r="E60">
        <v>2017</v>
      </c>
      <c r="G60" t="s">
        <v>301</v>
      </c>
      <c r="H60">
        <v>9781509858620</v>
      </c>
      <c r="I60" s="1">
        <v>44998</v>
      </c>
      <c r="J60" t="str">
        <f t="shared" si="3"/>
        <v>March</v>
      </c>
      <c r="K60" s="3">
        <f t="shared" si="4"/>
        <v>2023</v>
      </c>
      <c r="L60" s="2">
        <v>5.46458333333333</v>
      </c>
      <c r="M60" t="s">
        <v>20</v>
      </c>
      <c r="N60">
        <v>6</v>
      </c>
      <c r="O60">
        <v>98</v>
      </c>
      <c r="P60" t="str">
        <f t="shared" si="5"/>
        <v>Nearly There (75–99%)</v>
      </c>
      <c r="Q60">
        <v>11</v>
      </c>
      <c r="R60" t="s">
        <v>34</v>
      </c>
    </row>
    <row r="61" spans="1:18" x14ac:dyDescent="0.2">
      <c r="A61" t="s">
        <v>50</v>
      </c>
      <c r="B61" t="s">
        <v>51</v>
      </c>
      <c r="C61" t="s">
        <v>37</v>
      </c>
      <c r="D61" t="s">
        <v>52</v>
      </c>
      <c r="E61">
        <v>2018</v>
      </c>
      <c r="G61" t="s">
        <v>53</v>
      </c>
      <c r="H61"/>
      <c r="I61" s="1">
        <v>44417</v>
      </c>
      <c r="J61" t="str">
        <f t="shared" si="3"/>
        <v>August</v>
      </c>
      <c r="K61" s="3">
        <f t="shared" si="4"/>
        <v>2021</v>
      </c>
      <c r="L61" s="2">
        <v>0.67291666666666705</v>
      </c>
      <c r="M61" t="s">
        <v>20</v>
      </c>
      <c r="N61">
        <v>6</v>
      </c>
      <c r="O61">
        <v>100</v>
      </c>
      <c r="P61" t="str">
        <f t="shared" si="5"/>
        <v>Fully Finished</v>
      </c>
      <c r="Q61">
        <v>21</v>
      </c>
      <c r="R61" t="s">
        <v>21</v>
      </c>
    </row>
    <row r="62" spans="1:18" x14ac:dyDescent="0.2">
      <c r="A62" t="s">
        <v>50</v>
      </c>
      <c r="B62" t="s">
        <v>51</v>
      </c>
      <c r="C62" t="s">
        <v>37</v>
      </c>
      <c r="D62" t="s">
        <v>52</v>
      </c>
      <c r="E62">
        <v>2018</v>
      </c>
      <c r="G62" t="s">
        <v>53</v>
      </c>
      <c r="H62"/>
      <c r="I62" s="1">
        <v>44310</v>
      </c>
      <c r="J62" t="str">
        <f t="shared" si="3"/>
        <v>April</v>
      </c>
      <c r="K62" s="3">
        <f t="shared" si="4"/>
        <v>2021</v>
      </c>
      <c r="L62" s="2">
        <v>0.71458333333333302</v>
      </c>
      <c r="M62" t="s">
        <v>20</v>
      </c>
      <c r="N62">
        <v>6</v>
      </c>
      <c r="O62">
        <v>12</v>
      </c>
      <c r="P62" t="str">
        <f t="shared" si="5"/>
        <v>Barely Started (0–24%)</v>
      </c>
      <c r="Q62">
        <v>21</v>
      </c>
      <c r="R62" t="s">
        <v>21</v>
      </c>
    </row>
    <row r="63" spans="1:18" x14ac:dyDescent="0.2">
      <c r="A63" t="s">
        <v>264</v>
      </c>
      <c r="B63" t="s">
        <v>265</v>
      </c>
      <c r="C63" t="s">
        <v>17</v>
      </c>
      <c r="D63" t="s">
        <v>333</v>
      </c>
      <c r="E63">
        <v>2018</v>
      </c>
      <c r="G63" t="s">
        <v>266</v>
      </c>
      <c r="H63">
        <v>9781509846887</v>
      </c>
      <c r="I63" s="1">
        <v>44502</v>
      </c>
      <c r="J63" t="str">
        <f t="shared" si="3"/>
        <v>November</v>
      </c>
      <c r="K63" s="3">
        <f t="shared" si="4"/>
        <v>2021</v>
      </c>
      <c r="L63" s="2">
        <v>4.7562499999999996</v>
      </c>
      <c r="M63" t="s">
        <v>20</v>
      </c>
      <c r="N63">
        <v>6</v>
      </c>
      <c r="O63">
        <v>100</v>
      </c>
      <c r="P63" t="str">
        <f t="shared" si="5"/>
        <v>Fully Finished</v>
      </c>
      <c r="Q63">
        <v>21</v>
      </c>
      <c r="R63" t="s">
        <v>21</v>
      </c>
    </row>
    <row r="64" spans="1:18" x14ac:dyDescent="0.2">
      <c r="A64" t="s">
        <v>218</v>
      </c>
      <c r="B64" t="s">
        <v>219</v>
      </c>
      <c r="C64" t="s">
        <v>341</v>
      </c>
      <c r="D64" t="s">
        <v>220</v>
      </c>
      <c r="E64">
        <v>2019</v>
      </c>
      <c r="G64" t="s">
        <v>221</v>
      </c>
      <c r="H64" t="s">
        <v>222</v>
      </c>
      <c r="I64" s="1">
        <v>44348</v>
      </c>
      <c r="J64" t="str">
        <f t="shared" si="3"/>
        <v>June</v>
      </c>
      <c r="K64" s="3">
        <f t="shared" si="4"/>
        <v>2021</v>
      </c>
      <c r="L64" s="2">
        <v>3.6312500000000001</v>
      </c>
      <c r="M64" t="s">
        <v>20</v>
      </c>
      <c r="N64">
        <v>18</v>
      </c>
      <c r="O64">
        <v>100</v>
      </c>
      <c r="P64" t="str">
        <f t="shared" si="5"/>
        <v>Fully Finished</v>
      </c>
      <c r="Q64">
        <v>21</v>
      </c>
      <c r="R64" t="s">
        <v>21</v>
      </c>
    </row>
    <row r="65" spans="1:18" x14ac:dyDescent="0.2">
      <c r="A65" t="s">
        <v>249</v>
      </c>
      <c r="B65" t="s">
        <v>70</v>
      </c>
      <c r="C65" t="s">
        <v>17</v>
      </c>
      <c r="D65" t="s">
        <v>29</v>
      </c>
      <c r="E65">
        <v>2019</v>
      </c>
      <c r="F65">
        <v>4.5</v>
      </c>
      <c r="G65" t="s">
        <v>93</v>
      </c>
      <c r="H65">
        <v>9780241395028</v>
      </c>
      <c r="I65" s="1">
        <v>45101</v>
      </c>
      <c r="J65" t="str">
        <f t="shared" si="3"/>
        <v>June</v>
      </c>
      <c r="K65" s="3">
        <f t="shared" si="4"/>
        <v>2023</v>
      </c>
      <c r="L65" s="2">
        <v>4.2979166666666702</v>
      </c>
      <c r="M65" t="s">
        <v>20</v>
      </c>
      <c r="N65">
        <v>5</v>
      </c>
      <c r="O65">
        <v>95</v>
      </c>
      <c r="P65" t="str">
        <f t="shared" si="5"/>
        <v>Nearly There (75–99%)</v>
      </c>
      <c r="Q65">
        <v>21</v>
      </c>
      <c r="R65" t="s">
        <v>34</v>
      </c>
    </row>
    <row r="66" spans="1:18" x14ac:dyDescent="0.2">
      <c r="A66" t="s">
        <v>191</v>
      </c>
      <c r="B66" t="s">
        <v>192</v>
      </c>
      <c r="C66" t="s">
        <v>17</v>
      </c>
      <c r="D66" t="s">
        <v>44</v>
      </c>
      <c r="E66">
        <v>2020</v>
      </c>
      <c r="F66">
        <v>2</v>
      </c>
      <c r="G66" t="s">
        <v>158</v>
      </c>
      <c r="H66">
        <v>9781004010776</v>
      </c>
      <c r="I66" s="1">
        <v>45101</v>
      </c>
      <c r="J66" t="str">
        <f t="shared" ref="J66:J97" si="6">TEXT(I66,"mmmm")</f>
        <v>June</v>
      </c>
      <c r="K66" s="3">
        <f t="shared" ref="K66:K97" si="7">YEAR(I66)</f>
        <v>2023</v>
      </c>
      <c r="L66" s="2">
        <v>3.0479166666666702</v>
      </c>
      <c r="M66" t="s">
        <v>20</v>
      </c>
      <c r="N66">
        <v>6</v>
      </c>
      <c r="O66">
        <v>96</v>
      </c>
      <c r="P66" t="str">
        <f t="shared" ref="P66:P97" si="8">IF(O66=100,"Fully Finished",IF(O66&gt;=75,"Nearly There (75–99%)",IF(O66&gt;=25,"Got Going (25–74%)","Barely Started (0–24%)")))</f>
        <v>Nearly There (75–99%)</v>
      </c>
      <c r="Q66">
        <v>21</v>
      </c>
      <c r="R66" t="s">
        <v>34</v>
      </c>
    </row>
    <row r="67" spans="1:18" x14ac:dyDescent="0.2">
      <c r="A67" t="s">
        <v>223</v>
      </c>
      <c r="B67" t="s">
        <v>192</v>
      </c>
      <c r="C67" t="s">
        <v>17</v>
      </c>
      <c r="D67" t="s">
        <v>44</v>
      </c>
      <c r="E67">
        <v>2020</v>
      </c>
      <c r="F67">
        <v>3</v>
      </c>
      <c r="G67" t="s">
        <v>158</v>
      </c>
      <c r="H67">
        <v>9781004010738</v>
      </c>
      <c r="I67" s="1">
        <v>45101</v>
      </c>
      <c r="J67" t="str">
        <f t="shared" si="6"/>
        <v>June</v>
      </c>
      <c r="K67" s="3">
        <f t="shared" si="7"/>
        <v>2023</v>
      </c>
      <c r="L67" s="2">
        <v>3.6729166666666702</v>
      </c>
      <c r="M67" t="s">
        <v>20</v>
      </c>
      <c r="N67">
        <v>7</v>
      </c>
      <c r="O67">
        <v>99</v>
      </c>
      <c r="P67" t="str">
        <f t="shared" si="8"/>
        <v>Nearly There (75–99%)</v>
      </c>
      <c r="Q67">
        <v>21</v>
      </c>
      <c r="R67" t="s">
        <v>34</v>
      </c>
    </row>
    <row r="68" spans="1:18" x14ac:dyDescent="0.2">
      <c r="A68" t="s">
        <v>230</v>
      </c>
      <c r="B68" t="s">
        <v>192</v>
      </c>
      <c r="C68" t="s">
        <v>17</v>
      </c>
      <c r="D68" t="s">
        <v>44</v>
      </c>
      <c r="E68">
        <v>2020</v>
      </c>
      <c r="F68">
        <v>1</v>
      </c>
      <c r="G68" t="s">
        <v>158</v>
      </c>
      <c r="H68">
        <v>9781004010714</v>
      </c>
      <c r="I68" s="1">
        <v>45113</v>
      </c>
      <c r="J68" t="str">
        <f t="shared" si="6"/>
        <v>July</v>
      </c>
      <c r="K68" s="3">
        <f t="shared" si="7"/>
        <v>2023</v>
      </c>
      <c r="L68" s="2">
        <v>3.7979166666666702</v>
      </c>
      <c r="M68" t="s">
        <v>20</v>
      </c>
      <c r="N68">
        <v>5</v>
      </c>
      <c r="O68">
        <v>100</v>
      </c>
      <c r="P68" t="str">
        <f t="shared" si="8"/>
        <v>Fully Finished</v>
      </c>
      <c r="Q68">
        <v>2</v>
      </c>
      <c r="R68" t="s">
        <v>34</v>
      </c>
    </row>
    <row r="69" spans="1:18" x14ac:dyDescent="0.2">
      <c r="A69" t="s">
        <v>291</v>
      </c>
      <c r="B69" t="s">
        <v>292</v>
      </c>
      <c r="C69" t="s">
        <v>17</v>
      </c>
      <c r="D69" t="s">
        <v>331</v>
      </c>
      <c r="E69">
        <v>2020</v>
      </c>
      <c r="G69" t="s">
        <v>293</v>
      </c>
      <c r="H69">
        <v>9781781103791</v>
      </c>
      <c r="I69" s="1">
        <v>45018</v>
      </c>
      <c r="J69" t="str">
        <f t="shared" si="6"/>
        <v>April</v>
      </c>
      <c r="K69" s="3">
        <f t="shared" si="7"/>
        <v>2023</v>
      </c>
      <c r="L69" s="2">
        <v>5.2979166666666702</v>
      </c>
      <c r="M69" t="s">
        <v>20</v>
      </c>
      <c r="N69">
        <v>2</v>
      </c>
      <c r="O69">
        <v>0</v>
      </c>
      <c r="P69" t="str">
        <f t="shared" si="8"/>
        <v>Barely Started (0–24%)</v>
      </c>
      <c r="Q69">
        <v>0</v>
      </c>
      <c r="R69" t="s">
        <v>34</v>
      </c>
    </row>
    <row r="70" spans="1:18" x14ac:dyDescent="0.2">
      <c r="A70" t="s">
        <v>82</v>
      </c>
      <c r="B70" t="s">
        <v>83</v>
      </c>
      <c r="C70" t="s">
        <v>349</v>
      </c>
      <c r="D70" t="s">
        <v>350</v>
      </c>
      <c r="E70">
        <v>2021</v>
      </c>
      <c r="G70" t="s">
        <v>33</v>
      </c>
      <c r="H70"/>
      <c r="I70" s="1">
        <v>44956</v>
      </c>
      <c r="J70" t="str">
        <f t="shared" si="6"/>
        <v>January</v>
      </c>
      <c r="K70" s="3">
        <f t="shared" si="7"/>
        <v>2023</v>
      </c>
      <c r="L70" s="2">
        <v>1.1312500000000001</v>
      </c>
      <c r="M70" t="s">
        <v>20</v>
      </c>
      <c r="N70">
        <v>9</v>
      </c>
      <c r="O70">
        <v>10</v>
      </c>
      <c r="P70" t="str">
        <f t="shared" si="8"/>
        <v>Barely Started (0–24%)</v>
      </c>
      <c r="Q70">
        <v>21</v>
      </c>
      <c r="R70" t="s">
        <v>34</v>
      </c>
    </row>
    <row r="71" spans="1:18" x14ac:dyDescent="0.2">
      <c r="A71" t="s">
        <v>160</v>
      </c>
      <c r="B71" t="s">
        <v>161</v>
      </c>
      <c r="C71" t="s">
        <v>37</v>
      </c>
      <c r="D71" t="s">
        <v>351</v>
      </c>
      <c r="E71">
        <v>2021</v>
      </c>
      <c r="G71" t="s">
        <v>158</v>
      </c>
      <c r="H71"/>
      <c r="I71" s="1">
        <v>45399</v>
      </c>
      <c r="J71" t="str">
        <f t="shared" si="6"/>
        <v>April</v>
      </c>
      <c r="K71" s="3">
        <f t="shared" si="7"/>
        <v>2024</v>
      </c>
      <c r="L71" s="2">
        <v>2.58958333333333</v>
      </c>
      <c r="M71" t="s">
        <v>20</v>
      </c>
      <c r="N71">
        <v>10</v>
      </c>
      <c r="O71">
        <v>50</v>
      </c>
      <c r="P71" t="str">
        <f t="shared" si="8"/>
        <v>Got Going (25–74%)</v>
      </c>
      <c r="Q71">
        <v>13</v>
      </c>
      <c r="R71" t="s">
        <v>34</v>
      </c>
    </row>
    <row r="72" spans="1:18" x14ac:dyDescent="0.2">
      <c r="A72" t="s">
        <v>175</v>
      </c>
      <c r="B72" t="s">
        <v>176</v>
      </c>
      <c r="C72" t="s">
        <v>341</v>
      </c>
      <c r="D72" t="s">
        <v>177</v>
      </c>
      <c r="E72">
        <v>2021</v>
      </c>
      <c r="G72" t="s">
        <v>53</v>
      </c>
      <c r="H72"/>
      <c r="I72" s="1">
        <v>44775</v>
      </c>
      <c r="J72" t="str">
        <f t="shared" si="6"/>
        <v>August</v>
      </c>
      <c r="K72" s="3">
        <f t="shared" si="7"/>
        <v>2022</v>
      </c>
      <c r="L72" s="2">
        <v>2.7979166666666702</v>
      </c>
      <c r="M72" t="s">
        <v>20</v>
      </c>
      <c r="N72">
        <v>7</v>
      </c>
      <c r="O72">
        <v>100</v>
      </c>
      <c r="P72" t="str">
        <f t="shared" si="8"/>
        <v>Fully Finished</v>
      </c>
      <c r="Q72">
        <v>21</v>
      </c>
      <c r="R72" t="s">
        <v>21</v>
      </c>
    </row>
    <row r="73" spans="1:18" x14ac:dyDescent="0.2">
      <c r="A73" t="s">
        <v>196</v>
      </c>
      <c r="B73" t="s">
        <v>197</v>
      </c>
      <c r="C73" t="s">
        <v>17</v>
      </c>
      <c r="D73" t="s">
        <v>354</v>
      </c>
      <c r="E73">
        <v>2021</v>
      </c>
      <c r="F73">
        <v>1</v>
      </c>
      <c r="G73" t="s">
        <v>199</v>
      </c>
      <c r="H73"/>
      <c r="I73" s="1">
        <v>44641</v>
      </c>
      <c r="J73" t="str">
        <f t="shared" si="6"/>
        <v>March</v>
      </c>
      <c r="K73" s="3">
        <f t="shared" si="7"/>
        <v>2022</v>
      </c>
      <c r="L73" s="2">
        <v>3.33958333333333</v>
      </c>
      <c r="M73" t="s">
        <v>20</v>
      </c>
      <c r="N73">
        <v>16</v>
      </c>
      <c r="O73">
        <v>100</v>
      </c>
      <c r="P73" t="str">
        <f t="shared" si="8"/>
        <v>Fully Finished</v>
      </c>
      <c r="Q73">
        <v>21</v>
      </c>
      <c r="R73" t="s">
        <v>21</v>
      </c>
    </row>
    <row r="74" spans="1:18" x14ac:dyDescent="0.2">
      <c r="A74" t="s">
        <v>224</v>
      </c>
      <c r="B74" t="s">
        <v>225</v>
      </c>
      <c r="C74" t="s">
        <v>341</v>
      </c>
      <c r="D74" t="s">
        <v>226</v>
      </c>
      <c r="E74">
        <v>2021</v>
      </c>
      <c r="G74" t="s">
        <v>227</v>
      </c>
      <c r="H74"/>
      <c r="I74" s="1">
        <v>44744</v>
      </c>
      <c r="J74" t="str">
        <f t="shared" si="6"/>
        <v>July</v>
      </c>
      <c r="K74" s="3">
        <f t="shared" si="7"/>
        <v>2022</v>
      </c>
      <c r="L74" s="2">
        <v>3.71458333333333</v>
      </c>
      <c r="M74" t="s">
        <v>20</v>
      </c>
      <c r="N74">
        <v>2</v>
      </c>
      <c r="O74">
        <v>100</v>
      </c>
      <c r="P74" t="str">
        <f t="shared" si="8"/>
        <v>Fully Finished</v>
      </c>
      <c r="Q74">
        <v>21</v>
      </c>
      <c r="R74" t="s">
        <v>21</v>
      </c>
    </row>
    <row r="75" spans="1:18" x14ac:dyDescent="0.2">
      <c r="A75" t="s">
        <v>54</v>
      </c>
      <c r="B75" t="s">
        <v>55</v>
      </c>
      <c r="C75" t="s">
        <v>343</v>
      </c>
      <c r="D75" t="s">
        <v>29</v>
      </c>
      <c r="E75">
        <v>2022</v>
      </c>
      <c r="G75" t="s">
        <v>57</v>
      </c>
      <c r="H75"/>
      <c r="I75" s="1">
        <v>44947</v>
      </c>
      <c r="J75" t="str">
        <f t="shared" si="6"/>
        <v>January</v>
      </c>
      <c r="K75" s="3">
        <f t="shared" si="7"/>
        <v>2023</v>
      </c>
      <c r="L75" s="2">
        <v>0.75624999999999998</v>
      </c>
      <c r="M75" t="s">
        <v>20</v>
      </c>
      <c r="N75">
        <v>22</v>
      </c>
      <c r="O75">
        <v>59</v>
      </c>
      <c r="P75" t="str">
        <f t="shared" si="8"/>
        <v>Got Going (25–74%)</v>
      </c>
      <c r="Q75">
        <v>15</v>
      </c>
      <c r="R75" t="s">
        <v>34</v>
      </c>
    </row>
    <row r="76" spans="1:18" x14ac:dyDescent="0.2">
      <c r="A76" t="s">
        <v>127</v>
      </c>
      <c r="B76" t="s">
        <v>128</v>
      </c>
      <c r="C76" t="s">
        <v>17</v>
      </c>
      <c r="D76" t="s">
        <v>129</v>
      </c>
      <c r="E76">
        <v>2022</v>
      </c>
      <c r="G76" t="s">
        <v>38</v>
      </c>
      <c r="H76"/>
      <c r="I76" s="1">
        <v>45330</v>
      </c>
      <c r="J76" t="str">
        <f t="shared" si="6"/>
        <v>February</v>
      </c>
      <c r="K76" s="3">
        <f t="shared" si="7"/>
        <v>2024</v>
      </c>
      <c r="L76" s="2">
        <v>1.96458333333333</v>
      </c>
      <c r="M76" t="s">
        <v>20</v>
      </c>
      <c r="N76">
        <v>13</v>
      </c>
      <c r="O76">
        <v>93</v>
      </c>
      <c r="P76" t="str">
        <f t="shared" si="8"/>
        <v>Nearly There (75–99%)</v>
      </c>
      <c r="Q76">
        <v>20</v>
      </c>
      <c r="R76" t="s">
        <v>21</v>
      </c>
    </row>
    <row r="77" spans="1:18" x14ac:dyDescent="0.2">
      <c r="A77" t="s">
        <v>124</v>
      </c>
      <c r="B77" t="s">
        <v>125</v>
      </c>
      <c r="C77" t="s">
        <v>349</v>
      </c>
      <c r="D77" t="s">
        <v>126</v>
      </c>
      <c r="E77">
        <v>2022</v>
      </c>
      <c r="G77" t="s">
        <v>38</v>
      </c>
      <c r="H77"/>
      <c r="I77" s="1">
        <v>44786</v>
      </c>
      <c r="J77" t="str">
        <f t="shared" si="6"/>
        <v>August</v>
      </c>
      <c r="K77" s="3">
        <f t="shared" si="7"/>
        <v>2022</v>
      </c>
      <c r="L77" s="2">
        <v>1.9229166666666699</v>
      </c>
      <c r="M77" t="s">
        <v>20</v>
      </c>
      <c r="N77">
        <v>7</v>
      </c>
      <c r="O77">
        <v>100</v>
      </c>
      <c r="P77" t="str">
        <f t="shared" si="8"/>
        <v>Fully Finished</v>
      </c>
      <c r="Q77">
        <v>21</v>
      </c>
      <c r="R77" t="s">
        <v>21</v>
      </c>
    </row>
    <row r="78" spans="1:18" x14ac:dyDescent="0.2">
      <c r="A78" t="s">
        <v>168</v>
      </c>
      <c r="B78" t="s">
        <v>169</v>
      </c>
      <c r="C78" t="s">
        <v>17</v>
      </c>
      <c r="D78" t="s">
        <v>170</v>
      </c>
      <c r="E78">
        <v>2022</v>
      </c>
      <c r="G78" t="s">
        <v>171</v>
      </c>
      <c r="H78">
        <v>9781666626063</v>
      </c>
      <c r="I78" s="1">
        <v>45725</v>
      </c>
      <c r="J78" t="str">
        <f t="shared" si="6"/>
        <v>March</v>
      </c>
      <c r="K78" s="3">
        <f t="shared" si="7"/>
        <v>2025</v>
      </c>
      <c r="L78" s="2">
        <v>2.71458333333333</v>
      </c>
      <c r="M78" t="s">
        <v>20</v>
      </c>
      <c r="N78">
        <v>7</v>
      </c>
      <c r="O78">
        <v>30</v>
      </c>
      <c r="P78" t="str">
        <f t="shared" si="8"/>
        <v>Got Going (25–74%)</v>
      </c>
      <c r="Q78">
        <v>10</v>
      </c>
      <c r="R78" t="s">
        <v>21</v>
      </c>
    </row>
    <row r="79" spans="1:18" x14ac:dyDescent="0.2">
      <c r="A79" t="s">
        <v>287</v>
      </c>
      <c r="B79" t="s">
        <v>288</v>
      </c>
      <c r="C79" t="s">
        <v>341</v>
      </c>
      <c r="D79" t="s">
        <v>151</v>
      </c>
      <c r="E79">
        <v>2022</v>
      </c>
      <c r="G79" t="s">
        <v>289</v>
      </c>
      <c r="H79">
        <v>9781529162628</v>
      </c>
      <c r="I79" s="1">
        <v>44714</v>
      </c>
      <c r="J79" t="str">
        <f t="shared" si="6"/>
        <v>June</v>
      </c>
      <c r="K79" s="3">
        <f t="shared" si="7"/>
        <v>2022</v>
      </c>
      <c r="L79" s="2">
        <v>5.1729166666666702</v>
      </c>
      <c r="M79" t="s">
        <v>20</v>
      </c>
      <c r="N79">
        <v>15</v>
      </c>
      <c r="O79">
        <v>100</v>
      </c>
      <c r="P79" t="str">
        <f t="shared" si="8"/>
        <v>Fully Finished</v>
      </c>
      <c r="Q79">
        <v>21</v>
      </c>
      <c r="R79" t="s">
        <v>21</v>
      </c>
    </row>
    <row r="80" spans="1:18" x14ac:dyDescent="0.2">
      <c r="A80" t="s">
        <v>302</v>
      </c>
      <c r="B80" t="s">
        <v>303</v>
      </c>
      <c r="C80" t="s">
        <v>37</v>
      </c>
      <c r="D80" t="s">
        <v>304</v>
      </c>
      <c r="E80">
        <v>2022</v>
      </c>
      <c r="G80" t="s">
        <v>174</v>
      </c>
      <c r="H80"/>
      <c r="I80" s="1">
        <v>45211</v>
      </c>
      <c r="J80" t="str">
        <f t="shared" si="6"/>
        <v>October</v>
      </c>
      <c r="K80" s="3">
        <f t="shared" si="7"/>
        <v>2023</v>
      </c>
      <c r="L80" s="2">
        <v>5.5062499999999996</v>
      </c>
      <c r="M80" t="s">
        <v>20</v>
      </c>
      <c r="N80">
        <v>8</v>
      </c>
      <c r="O80">
        <v>82</v>
      </c>
      <c r="P80" t="str">
        <f t="shared" si="8"/>
        <v>Nearly There (75–99%)</v>
      </c>
      <c r="Q80">
        <v>19</v>
      </c>
      <c r="R80" t="s">
        <v>34</v>
      </c>
    </row>
    <row r="81" spans="1:18" x14ac:dyDescent="0.2">
      <c r="A81" t="s">
        <v>42</v>
      </c>
      <c r="B81" t="s">
        <v>43</v>
      </c>
      <c r="C81" t="s">
        <v>17</v>
      </c>
      <c r="D81" t="s">
        <v>44</v>
      </c>
      <c r="E81">
        <v>2023</v>
      </c>
      <c r="F81">
        <v>2</v>
      </c>
      <c r="G81" t="s">
        <v>45</v>
      </c>
      <c r="H81">
        <v>9788728500798</v>
      </c>
      <c r="I81" s="1">
        <v>45301</v>
      </c>
      <c r="J81" t="str">
        <f t="shared" si="6"/>
        <v>January</v>
      </c>
      <c r="K81" s="3">
        <f t="shared" si="7"/>
        <v>2024</v>
      </c>
      <c r="L81" s="2">
        <v>0.58958333333333302</v>
      </c>
      <c r="M81" t="s">
        <v>20</v>
      </c>
      <c r="N81">
        <v>9</v>
      </c>
      <c r="O81">
        <v>99</v>
      </c>
      <c r="P81" t="str">
        <f t="shared" si="8"/>
        <v>Nearly There (75–99%)</v>
      </c>
      <c r="Q81">
        <v>13</v>
      </c>
      <c r="R81" t="s">
        <v>34</v>
      </c>
    </row>
    <row r="82" spans="1:18" x14ac:dyDescent="0.2">
      <c r="A82" t="s">
        <v>107</v>
      </c>
      <c r="B82" t="s">
        <v>108</v>
      </c>
      <c r="C82" t="s">
        <v>17</v>
      </c>
      <c r="D82" t="s">
        <v>355</v>
      </c>
      <c r="E82">
        <v>2023</v>
      </c>
      <c r="F82">
        <v>1</v>
      </c>
      <c r="G82" t="s">
        <v>19</v>
      </c>
      <c r="H82"/>
      <c r="I82" s="1">
        <v>45359</v>
      </c>
      <c r="J82" t="str">
        <f t="shared" si="6"/>
        <v>March</v>
      </c>
      <c r="K82" s="3">
        <f t="shared" si="7"/>
        <v>2024</v>
      </c>
      <c r="L82" s="2">
        <v>1.6312500000000001</v>
      </c>
      <c r="M82" t="s">
        <v>20</v>
      </c>
      <c r="N82">
        <v>22</v>
      </c>
      <c r="O82">
        <v>100</v>
      </c>
      <c r="P82" t="str">
        <f t="shared" si="8"/>
        <v>Fully Finished</v>
      </c>
      <c r="Q82">
        <v>21</v>
      </c>
      <c r="R82" t="s">
        <v>21</v>
      </c>
    </row>
    <row r="83" spans="1:18" x14ac:dyDescent="0.2">
      <c r="A83" t="s">
        <v>130</v>
      </c>
      <c r="B83" t="s">
        <v>131</v>
      </c>
      <c r="C83" t="s">
        <v>341</v>
      </c>
      <c r="D83" t="s">
        <v>133</v>
      </c>
      <c r="E83">
        <v>2023</v>
      </c>
      <c r="H83"/>
      <c r="I83" s="1">
        <v>45262</v>
      </c>
      <c r="J83" t="str">
        <f t="shared" si="6"/>
        <v>December</v>
      </c>
      <c r="K83" s="3">
        <f t="shared" si="7"/>
        <v>2023</v>
      </c>
      <c r="L83" s="2">
        <v>2.0062500000000001</v>
      </c>
      <c r="M83" t="s">
        <v>20</v>
      </c>
      <c r="N83">
        <v>8</v>
      </c>
      <c r="O83">
        <v>100</v>
      </c>
      <c r="P83" t="str">
        <f t="shared" si="8"/>
        <v>Fully Finished</v>
      </c>
      <c r="Q83">
        <v>21</v>
      </c>
      <c r="R83" t="s">
        <v>21</v>
      </c>
    </row>
    <row r="84" spans="1:18" x14ac:dyDescent="0.2">
      <c r="A84" t="s">
        <v>159</v>
      </c>
      <c r="B84" t="s">
        <v>70</v>
      </c>
      <c r="C84" t="s">
        <v>17</v>
      </c>
      <c r="D84" t="s">
        <v>29</v>
      </c>
      <c r="E84">
        <v>2023</v>
      </c>
      <c r="F84">
        <v>5</v>
      </c>
      <c r="G84" t="s">
        <v>93</v>
      </c>
      <c r="H84">
        <v>9780241651742</v>
      </c>
      <c r="I84" s="1">
        <v>45455</v>
      </c>
      <c r="J84" t="str">
        <f t="shared" si="6"/>
        <v>June</v>
      </c>
      <c r="K84" s="3">
        <f t="shared" si="7"/>
        <v>2024</v>
      </c>
      <c r="L84" s="2">
        <v>2.5479166666666702</v>
      </c>
      <c r="M84" t="s">
        <v>20</v>
      </c>
      <c r="N84">
        <v>25</v>
      </c>
      <c r="O84">
        <v>87</v>
      </c>
      <c r="P84" t="str">
        <f t="shared" si="8"/>
        <v>Nearly There (75–99%)</v>
      </c>
      <c r="Q84">
        <v>21</v>
      </c>
      <c r="R84" t="s">
        <v>34</v>
      </c>
    </row>
    <row r="85" spans="1:18" x14ac:dyDescent="0.2">
      <c r="A85" t="s">
        <v>172</v>
      </c>
      <c r="B85" t="s">
        <v>173</v>
      </c>
      <c r="C85" t="s">
        <v>37</v>
      </c>
      <c r="D85" t="s">
        <v>352</v>
      </c>
      <c r="E85">
        <v>2023</v>
      </c>
      <c r="G85" t="s">
        <v>174</v>
      </c>
      <c r="H85"/>
      <c r="I85" s="1">
        <v>45037</v>
      </c>
      <c r="J85" t="str">
        <f t="shared" si="6"/>
        <v>April</v>
      </c>
      <c r="K85" s="3">
        <f t="shared" si="7"/>
        <v>2023</v>
      </c>
      <c r="L85" s="2">
        <v>2.7562500000000001</v>
      </c>
      <c r="M85" t="s">
        <v>20</v>
      </c>
      <c r="N85">
        <v>5</v>
      </c>
      <c r="O85">
        <v>56</v>
      </c>
      <c r="P85" t="str">
        <f t="shared" si="8"/>
        <v>Got Going (25–74%)</v>
      </c>
      <c r="Q85">
        <v>14</v>
      </c>
      <c r="R85" t="s">
        <v>34</v>
      </c>
    </row>
    <row r="86" spans="1:18" x14ac:dyDescent="0.2">
      <c r="A86" t="s">
        <v>178</v>
      </c>
      <c r="B86" t="s">
        <v>179</v>
      </c>
      <c r="C86" t="s">
        <v>341</v>
      </c>
      <c r="D86" t="s">
        <v>180</v>
      </c>
      <c r="E86">
        <v>2023</v>
      </c>
      <c r="H86"/>
      <c r="I86" s="1">
        <v>45201</v>
      </c>
      <c r="J86" t="str">
        <f t="shared" si="6"/>
        <v>October</v>
      </c>
      <c r="K86" s="3">
        <f t="shared" si="7"/>
        <v>2023</v>
      </c>
      <c r="L86" s="2">
        <v>2.83958333333333</v>
      </c>
      <c r="M86" t="s">
        <v>20</v>
      </c>
      <c r="N86">
        <v>9</v>
      </c>
      <c r="O86">
        <v>100</v>
      </c>
      <c r="P86" t="str">
        <f t="shared" si="8"/>
        <v>Fully Finished</v>
      </c>
      <c r="Q86">
        <v>21</v>
      </c>
      <c r="R86" t="s">
        <v>21</v>
      </c>
    </row>
    <row r="87" spans="1:18" x14ac:dyDescent="0.2">
      <c r="A87" t="s">
        <v>182</v>
      </c>
      <c r="B87" t="s">
        <v>183</v>
      </c>
      <c r="C87" t="s">
        <v>341</v>
      </c>
      <c r="D87" t="s">
        <v>356</v>
      </c>
      <c r="E87">
        <v>2023</v>
      </c>
      <c r="G87" t="s">
        <v>185</v>
      </c>
      <c r="H87" t="s">
        <v>186</v>
      </c>
      <c r="I87" s="1">
        <v>45536</v>
      </c>
      <c r="J87" t="str">
        <f t="shared" si="6"/>
        <v>September</v>
      </c>
      <c r="K87" s="3">
        <f t="shared" si="7"/>
        <v>2024</v>
      </c>
      <c r="L87" s="2">
        <v>2.9229166666666702</v>
      </c>
      <c r="M87" t="s">
        <v>20</v>
      </c>
      <c r="N87">
        <v>5</v>
      </c>
      <c r="O87">
        <v>100</v>
      </c>
      <c r="P87" t="str">
        <f t="shared" si="8"/>
        <v>Fully Finished</v>
      </c>
      <c r="Q87">
        <v>21</v>
      </c>
      <c r="R87" t="s">
        <v>21</v>
      </c>
    </row>
    <row r="88" spans="1:18" x14ac:dyDescent="0.2">
      <c r="A88" t="s">
        <v>200</v>
      </c>
      <c r="B88" t="s">
        <v>201</v>
      </c>
      <c r="C88" t="s">
        <v>341</v>
      </c>
      <c r="D88" t="s">
        <v>202</v>
      </c>
      <c r="E88">
        <v>2023</v>
      </c>
      <c r="G88" t="s">
        <v>203</v>
      </c>
      <c r="H88" t="s">
        <v>204</v>
      </c>
      <c r="I88" s="1">
        <v>45200</v>
      </c>
      <c r="J88" t="str">
        <f t="shared" si="6"/>
        <v>October</v>
      </c>
      <c r="K88" s="3">
        <f t="shared" si="7"/>
        <v>2023</v>
      </c>
      <c r="L88" s="2">
        <v>3.3812500000000001</v>
      </c>
      <c r="M88" t="s">
        <v>20</v>
      </c>
      <c r="N88">
        <v>9</v>
      </c>
      <c r="O88">
        <v>89</v>
      </c>
      <c r="P88" t="str">
        <f t="shared" si="8"/>
        <v>Nearly There (75–99%)</v>
      </c>
      <c r="Q88">
        <v>20</v>
      </c>
      <c r="R88" t="s">
        <v>21</v>
      </c>
    </row>
    <row r="89" spans="1:18" x14ac:dyDescent="0.2">
      <c r="A89" t="s">
        <v>246</v>
      </c>
      <c r="B89" t="s">
        <v>243</v>
      </c>
      <c r="C89" t="s">
        <v>244</v>
      </c>
      <c r="D89" t="s">
        <v>334</v>
      </c>
      <c r="E89">
        <v>2023</v>
      </c>
      <c r="F89">
        <v>6</v>
      </c>
      <c r="G89" t="s">
        <v>93</v>
      </c>
      <c r="H89">
        <v>9780241651124</v>
      </c>
      <c r="I89" s="1">
        <v>45497</v>
      </c>
      <c r="J89" t="str">
        <f t="shared" si="6"/>
        <v>July</v>
      </c>
      <c r="K89" s="3">
        <f t="shared" si="7"/>
        <v>2024</v>
      </c>
      <c r="L89" s="2">
        <v>4.21458333333333</v>
      </c>
      <c r="M89" t="s">
        <v>20</v>
      </c>
      <c r="N89">
        <v>7</v>
      </c>
      <c r="O89">
        <v>100</v>
      </c>
      <c r="P89" t="str">
        <f t="shared" si="8"/>
        <v>Fully Finished</v>
      </c>
      <c r="Q89">
        <v>21</v>
      </c>
      <c r="R89" t="s">
        <v>34</v>
      </c>
    </row>
    <row r="90" spans="1:18" x14ac:dyDescent="0.2">
      <c r="A90" t="s">
        <v>297</v>
      </c>
      <c r="B90" t="s">
        <v>298</v>
      </c>
      <c r="C90" t="s">
        <v>349</v>
      </c>
      <c r="D90" t="s">
        <v>126</v>
      </c>
      <c r="E90">
        <v>2023</v>
      </c>
      <c r="G90" t="s">
        <v>38</v>
      </c>
      <c r="H90">
        <v>9781668009048</v>
      </c>
      <c r="I90" s="1">
        <v>45224</v>
      </c>
      <c r="J90" t="str">
        <f t="shared" si="6"/>
        <v>October</v>
      </c>
      <c r="K90" s="3">
        <f t="shared" si="7"/>
        <v>2023</v>
      </c>
      <c r="L90" s="2">
        <v>5.4229166666666702</v>
      </c>
      <c r="M90" t="s">
        <v>20</v>
      </c>
      <c r="N90">
        <v>6</v>
      </c>
      <c r="O90">
        <v>100</v>
      </c>
      <c r="P90" t="str">
        <f t="shared" si="8"/>
        <v>Fully Finished</v>
      </c>
      <c r="Q90">
        <v>21</v>
      </c>
      <c r="R90" t="s">
        <v>21</v>
      </c>
    </row>
    <row r="91" spans="1:18" x14ac:dyDescent="0.2">
      <c r="A91" t="s">
        <v>308</v>
      </c>
      <c r="B91" t="s">
        <v>169</v>
      </c>
      <c r="C91" t="s">
        <v>17</v>
      </c>
      <c r="D91" t="s">
        <v>170</v>
      </c>
      <c r="E91">
        <v>2023</v>
      </c>
      <c r="G91" t="s">
        <v>171</v>
      </c>
      <c r="H91">
        <v>9781666644227</v>
      </c>
      <c r="I91" s="1">
        <v>45744</v>
      </c>
      <c r="J91" t="str">
        <f t="shared" si="6"/>
        <v>March</v>
      </c>
      <c r="K91" s="3">
        <f t="shared" si="7"/>
        <v>2025</v>
      </c>
      <c r="L91" s="2">
        <v>5.6312499999999996</v>
      </c>
      <c r="M91" t="s">
        <v>20</v>
      </c>
      <c r="N91">
        <v>7</v>
      </c>
      <c r="O91">
        <v>99</v>
      </c>
      <c r="P91" t="str">
        <f t="shared" si="8"/>
        <v>Nearly There (75–99%)</v>
      </c>
      <c r="Q91">
        <v>21</v>
      </c>
      <c r="R91" t="s">
        <v>21</v>
      </c>
    </row>
    <row r="92" spans="1:18" x14ac:dyDescent="0.2">
      <c r="A92" t="s">
        <v>27</v>
      </c>
      <c r="B92" t="s">
        <v>28</v>
      </c>
      <c r="C92" t="s">
        <v>17</v>
      </c>
      <c r="D92" t="s">
        <v>29</v>
      </c>
      <c r="E92">
        <v>2024</v>
      </c>
      <c r="F92">
        <v>2</v>
      </c>
      <c r="G92" t="s">
        <v>30</v>
      </c>
      <c r="H92"/>
      <c r="I92" s="1">
        <v>45481</v>
      </c>
      <c r="J92" t="str">
        <f t="shared" si="6"/>
        <v>July</v>
      </c>
      <c r="K92" s="3">
        <f t="shared" si="7"/>
        <v>2024</v>
      </c>
      <c r="L92" s="2">
        <v>0.38124999999999998</v>
      </c>
      <c r="M92" t="s">
        <v>20</v>
      </c>
      <c r="N92">
        <v>9</v>
      </c>
      <c r="O92">
        <v>100</v>
      </c>
      <c r="P92" t="str">
        <f t="shared" si="8"/>
        <v>Fully Finished</v>
      </c>
      <c r="Q92">
        <v>21</v>
      </c>
      <c r="R92" t="s">
        <v>21</v>
      </c>
    </row>
    <row r="93" spans="1:18" x14ac:dyDescent="0.2">
      <c r="A93" t="s">
        <v>99</v>
      </c>
      <c r="B93" t="s">
        <v>100</v>
      </c>
      <c r="C93" t="s">
        <v>349</v>
      </c>
      <c r="D93" t="s">
        <v>102</v>
      </c>
      <c r="E93">
        <v>2024</v>
      </c>
      <c r="G93" t="s">
        <v>103</v>
      </c>
      <c r="H93"/>
      <c r="I93" s="1">
        <v>45712</v>
      </c>
      <c r="J93" t="str">
        <f t="shared" si="6"/>
        <v>February</v>
      </c>
      <c r="K93" s="3">
        <f t="shared" si="7"/>
        <v>2025</v>
      </c>
      <c r="L93" s="2">
        <v>1.5479166666666699</v>
      </c>
      <c r="M93" t="s">
        <v>20</v>
      </c>
      <c r="N93">
        <v>6</v>
      </c>
      <c r="O93">
        <v>30</v>
      </c>
      <c r="P93" t="str">
        <f t="shared" si="8"/>
        <v>Got Going (25–74%)</v>
      </c>
      <c r="Q93">
        <v>21</v>
      </c>
      <c r="R93" t="s">
        <v>34</v>
      </c>
    </row>
    <row r="94" spans="1:18" x14ac:dyDescent="0.2">
      <c r="A94" t="s">
        <v>109</v>
      </c>
      <c r="B94" t="s">
        <v>110</v>
      </c>
      <c r="C94" t="s">
        <v>349</v>
      </c>
      <c r="D94" t="s">
        <v>111</v>
      </c>
      <c r="E94">
        <v>2024</v>
      </c>
      <c r="G94" t="s">
        <v>49</v>
      </c>
      <c r="H94">
        <v>9780593733875</v>
      </c>
      <c r="I94" s="1">
        <v>45647</v>
      </c>
      <c r="J94" t="str">
        <f t="shared" si="6"/>
        <v>December</v>
      </c>
      <c r="K94" s="3">
        <f t="shared" si="7"/>
        <v>2024</v>
      </c>
      <c r="L94" s="2">
        <v>1.6729166666666699</v>
      </c>
      <c r="M94" t="s">
        <v>20</v>
      </c>
      <c r="N94">
        <v>6</v>
      </c>
      <c r="O94">
        <v>100</v>
      </c>
      <c r="P94" t="str">
        <f t="shared" si="8"/>
        <v>Fully Finished</v>
      </c>
      <c r="Q94">
        <v>21</v>
      </c>
      <c r="R94" t="s">
        <v>21</v>
      </c>
    </row>
    <row r="95" spans="1:18" x14ac:dyDescent="0.2">
      <c r="A95" t="s">
        <v>112</v>
      </c>
      <c r="B95" t="s">
        <v>113</v>
      </c>
      <c r="C95" t="s">
        <v>17</v>
      </c>
      <c r="D95" t="s">
        <v>75</v>
      </c>
      <c r="E95">
        <v>2024</v>
      </c>
      <c r="G95" t="s">
        <v>30</v>
      </c>
      <c r="H95"/>
      <c r="I95" s="1">
        <v>45586</v>
      </c>
      <c r="J95" t="str">
        <f t="shared" si="6"/>
        <v>October</v>
      </c>
      <c r="K95" s="3">
        <f t="shared" si="7"/>
        <v>2024</v>
      </c>
      <c r="L95" s="2">
        <v>1.71458333333333</v>
      </c>
      <c r="M95" t="s">
        <v>20</v>
      </c>
      <c r="N95">
        <v>4</v>
      </c>
      <c r="O95">
        <v>100</v>
      </c>
      <c r="P95" t="str">
        <f t="shared" si="8"/>
        <v>Fully Finished</v>
      </c>
      <c r="Q95">
        <v>21</v>
      </c>
      <c r="R95" t="s">
        <v>21</v>
      </c>
    </row>
    <row r="96" spans="1:18" x14ac:dyDescent="0.2">
      <c r="A96" t="s">
        <v>114</v>
      </c>
      <c r="B96" t="s">
        <v>115</v>
      </c>
      <c r="C96" t="s">
        <v>17</v>
      </c>
      <c r="D96" t="s">
        <v>116</v>
      </c>
      <c r="E96">
        <v>2024</v>
      </c>
      <c r="G96" t="s">
        <v>53</v>
      </c>
      <c r="H96"/>
      <c r="I96" s="1">
        <v>45557</v>
      </c>
      <c r="J96" t="str">
        <f t="shared" si="6"/>
        <v>September</v>
      </c>
      <c r="K96" s="3">
        <f t="shared" si="7"/>
        <v>2024</v>
      </c>
      <c r="L96" s="2">
        <v>1.7562500000000001</v>
      </c>
      <c r="M96" t="s">
        <v>20</v>
      </c>
      <c r="N96">
        <v>6</v>
      </c>
      <c r="O96">
        <v>99</v>
      </c>
      <c r="P96" t="str">
        <f t="shared" si="8"/>
        <v>Nearly There (75–99%)</v>
      </c>
      <c r="Q96">
        <v>21</v>
      </c>
      <c r="R96" t="s">
        <v>21</v>
      </c>
    </row>
    <row r="97" spans="1:18" x14ac:dyDescent="0.2">
      <c r="A97" t="s">
        <v>136</v>
      </c>
      <c r="B97" t="s">
        <v>137</v>
      </c>
      <c r="C97" t="s">
        <v>343</v>
      </c>
      <c r="D97" t="s">
        <v>338</v>
      </c>
      <c r="E97">
        <v>2024</v>
      </c>
      <c r="G97" t="s">
        <v>138</v>
      </c>
      <c r="H97">
        <v>9781035031252</v>
      </c>
      <c r="I97" s="1">
        <v>45537</v>
      </c>
      <c r="J97" t="str">
        <f t="shared" si="6"/>
        <v>September</v>
      </c>
      <c r="K97" s="3">
        <f t="shared" si="7"/>
        <v>2024</v>
      </c>
      <c r="L97" s="2">
        <v>2.1729166666666702</v>
      </c>
      <c r="M97" t="s">
        <v>20</v>
      </c>
      <c r="N97">
        <v>8</v>
      </c>
      <c r="O97">
        <v>100</v>
      </c>
      <c r="P97" t="str">
        <f t="shared" si="8"/>
        <v>Fully Finished</v>
      </c>
      <c r="Q97">
        <v>21</v>
      </c>
      <c r="R97" t="s">
        <v>21</v>
      </c>
    </row>
    <row r="98" spans="1:18" x14ac:dyDescent="0.2">
      <c r="A98" t="s">
        <v>142</v>
      </c>
      <c r="B98" t="s">
        <v>143</v>
      </c>
      <c r="C98" t="s">
        <v>349</v>
      </c>
      <c r="D98" t="s">
        <v>144</v>
      </c>
      <c r="E98">
        <v>2024</v>
      </c>
      <c r="G98" t="s">
        <v>49</v>
      </c>
      <c r="H98">
        <v>9780593910696</v>
      </c>
      <c r="I98" s="1">
        <v>45556</v>
      </c>
      <c r="J98" t="str">
        <f t="shared" ref="J98:J129" si="9">TEXT(I98,"mmmm")</f>
        <v>September</v>
      </c>
      <c r="K98" s="3">
        <f t="shared" ref="K98:K129" si="10">YEAR(I98)</f>
        <v>2024</v>
      </c>
      <c r="L98" s="2">
        <v>2.2562500000000001</v>
      </c>
      <c r="M98" t="s">
        <v>20</v>
      </c>
      <c r="N98">
        <v>7</v>
      </c>
      <c r="O98">
        <v>100</v>
      </c>
      <c r="P98" t="str">
        <f t="shared" ref="P98:P129" si="11">IF(O98=100,"Fully Finished",IF(O98&gt;=75,"Nearly There (75–99%)",IF(O98&gt;=25,"Got Going (25–74%)","Barely Started (0–24%)")))</f>
        <v>Fully Finished</v>
      </c>
      <c r="Q98">
        <v>21</v>
      </c>
      <c r="R98" t="s">
        <v>21</v>
      </c>
    </row>
    <row r="99" spans="1:18" x14ac:dyDescent="0.2">
      <c r="A99" t="s">
        <v>154</v>
      </c>
      <c r="B99" t="s">
        <v>155</v>
      </c>
      <c r="C99" t="s">
        <v>17</v>
      </c>
      <c r="D99" t="s">
        <v>156</v>
      </c>
      <c r="E99">
        <v>2024</v>
      </c>
      <c r="G99" t="s">
        <v>30</v>
      </c>
      <c r="H99"/>
      <c r="I99" s="1">
        <v>45634</v>
      </c>
      <c r="J99" t="str">
        <f t="shared" si="9"/>
        <v>December</v>
      </c>
      <c r="K99" s="3">
        <f t="shared" si="10"/>
        <v>2024</v>
      </c>
      <c r="L99" s="2">
        <v>2.46458333333333</v>
      </c>
      <c r="M99" t="s">
        <v>20</v>
      </c>
      <c r="N99">
        <v>11</v>
      </c>
      <c r="O99">
        <v>100</v>
      </c>
      <c r="P99" t="str">
        <f t="shared" si="11"/>
        <v>Fully Finished</v>
      </c>
      <c r="Q99">
        <v>21</v>
      </c>
      <c r="R99" t="s">
        <v>21</v>
      </c>
    </row>
    <row r="100" spans="1:18" x14ac:dyDescent="0.2">
      <c r="A100" t="s">
        <v>215</v>
      </c>
      <c r="B100" t="s">
        <v>216</v>
      </c>
      <c r="C100" t="s">
        <v>17</v>
      </c>
      <c r="D100" t="s">
        <v>217</v>
      </c>
      <c r="E100">
        <v>2024</v>
      </c>
      <c r="H100"/>
      <c r="I100" s="1">
        <v>45343</v>
      </c>
      <c r="J100" t="str">
        <f t="shared" si="9"/>
        <v>February</v>
      </c>
      <c r="K100" s="3">
        <f t="shared" si="10"/>
        <v>2024</v>
      </c>
      <c r="L100" s="2">
        <v>3.58958333333333</v>
      </c>
      <c r="M100" t="s">
        <v>20</v>
      </c>
      <c r="N100">
        <v>25</v>
      </c>
      <c r="O100">
        <v>100</v>
      </c>
      <c r="P100" t="str">
        <f t="shared" si="11"/>
        <v>Fully Finished</v>
      </c>
      <c r="Q100">
        <v>21</v>
      </c>
      <c r="R100" t="s">
        <v>21</v>
      </c>
    </row>
    <row r="101" spans="1:18" x14ac:dyDescent="0.2">
      <c r="A101" t="s">
        <v>228</v>
      </c>
      <c r="B101" t="s">
        <v>229</v>
      </c>
      <c r="C101" t="s">
        <v>17</v>
      </c>
      <c r="D101" t="s">
        <v>319</v>
      </c>
      <c r="E101">
        <v>2024</v>
      </c>
      <c r="G101" t="s">
        <v>158</v>
      </c>
      <c r="H101">
        <v>9781004170241</v>
      </c>
      <c r="I101" s="1">
        <v>45485</v>
      </c>
      <c r="J101" t="str">
        <f t="shared" si="9"/>
        <v>July</v>
      </c>
      <c r="K101" s="3">
        <f t="shared" si="10"/>
        <v>2024</v>
      </c>
      <c r="L101" s="2">
        <v>3.7562500000000001</v>
      </c>
      <c r="M101" t="s">
        <v>20</v>
      </c>
      <c r="N101">
        <v>9</v>
      </c>
      <c r="O101">
        <v>98</v>
      </c>
      <c r="P101" t="str">
        <f t="shared" si="11"/>
        <v>Nearly There (75–99%)</v>
      </c>
      <c r="Q101">
        <v>21</v>
      </c>
      <c r="R101" t="s">
        <v>34</v>
      </c>
    </row>
    <row r="102" spans="1:18" x14ac:dyDescent="0.2">
      <c r="A102" t="s">
        <v>237</v>
      </c>
      <c r="B102" t="s">
        <v>238</v>
      </c>
      <c r="C102" t="s">
        <v>37</v>
      </c>
      <c r="D102" t="s">
        <v>239</v>
      </c>
      <c r="E102">
        <v>2024</v>
      </c>
      <c r="G102" t="s">
        <v>53</v>
      </c>
      <c r="H102"/>
      <c r="I102" s="1">
        <v>45756</v>
      </c>
      <c r="J102" t="str">
        <f t="shared" si="9"/>
        <v>April</v>
      </c>
      <c r="K102" s="3">
        <f t="shared" si="10"/>
        <v>2025</v>
      </c>
      <c r="L102" s="2">
        <v>4.0062499999999996</v>
      </c>
      <c r="M102" t="s">
        <v>20</v>
      </c>
      <c r="N102">
        <v>11</v>
      </c>
      <c r="O102">
        <v>100</v>
      </c>
      <c r="P102" t="str">
        <f t="shared" si="11"/>
        <v>Fully Finished</v>
      </c>
      <c r="Q102">
        <v>21</v>
      </c>
      <c r="R102" t="s">
        <v>21</v>
      </c>
    </row>
    <row r="103" spans="1:18" x14ac:dyDescent="0.2">
      <c r="A103" t="s">
        <v>245</v>
      </c>
      <c r="B103" t="s">
        <v>169</v>
      </c>
      <c r="C103" t="s">
        <v>17</v>
      </c>
      <c r="D103" t="s">
        <v>170</v>
      </c>
      <c r="E103">
        <v>2024</v>
      </c>
      <c r="G103" t="s">
        <v>171</v>
      </c>
      <c r="H103">
        <v>9781666665642</v>
      </c>
      <c r="I103" s="1">
        <v>45717</v>
      </c>
      <c r="J103" t="str">
        <f t="shared" si="9"/>
        <v>March</v>
      </c>
      <c r="K103" s="3">
        <f t="shared" si="10"/>
        <v>2025</v>
      </c>
      <c r="L103" s="2">
        <v>4.1312499999999996</v>
      </c>
      <c r="M103" t="s">
        <v>20</v>
      </c>
      <c r="N103">
        <v>9</v>
      </c>
      <c r="O103">
        <v>44</v>
      </c>
      <c r="P103" t="str">
        <f t="shared" si="11"/>
        <v>Got Going (25–74%)</v>
      </c>
      <c r="Q103">
        <v>21</v>
      </c>
      <c r="R103" t="s">
        <v>34</v>
      </c>
    </row>
    <row r="104" spans="1:18" x14ac:dyDescent="0.2">
      <c r="A104" t="s">
        <v>261</v>
      </c>
      <c r="B104" t="s">
        <v>262</v>
      </c>
      <c r="C104" t="s">
        <v>349</v>
      </c>
      <c r="D104" t="s">
        <v>349</v>
      </c>
      <c r="E104">
        <v>2024</v>
      </c>
      <c r="G104" t="s">
        <v>57</v>
      </c>
      <c r="H104"/>
      <c r="I104" s="1">
        <v>45577</v>
      </c>
      <c r="J104" t="str">
        <f t="shared" si="9"/>
        <v>October</v>
      </c>
      <c r="K104" s="3">
        <f t="shared" si="10"/>
        <v>2024</v>
      </c>
      <c r="L104" s="2">
        <v>4.6312499999999996</v>
      </c>
      <c r="M104" t="s">
        <v>20</v>
      </c>
      <c r="N104">
        <v>8</v>
      </c>
      <c r="O104">
        <v>22</v>
      </c>
      <c r="P104" t="str">
        <f t="shared" si="11"/>
        <v>Barely Started (0–24%)</v>
      </c>
      <c r="Q104">
        <v>12</v>
      </c>
      <c r="R104" t="s">
        <v>34</v>
      </c>
    </row>
    <row r="105" spans="1:18" x14ac:dyDescent="0.2">
      <c r="A105" t="s">
        <v>267</v>
      </c>
      <c r="B105" t="s">
        <v>268</v>
      </c>
      <c r="C105" t="s">
        <v>341</v>
      </c>
      <c r="D105" t="s">
        <v>269</v>
      </c>
      <c r="E105">
        <v>2024</v>
      </c>
      <c r="F105">
        <v>1</v>
      </c>
      <c r="G105" t="s">
        <v>266</v>
      </c>
      <c r="H105">
        <v>9781035067152</v>
      </c>
      <c r="I105" s="1">
        <v>45567</v>
      </c>
      <c r="J105" t="str">
        <f t="shared" si="9"/>
        <v>October</v>
      </c>
      <c r="K105" s="3">
        <f t="shared" si="10"/>
        <v>2024</v>
      </c>
      <c r="L105" s="2">
        <v>4.7979166666666702</v>
      </c>
      <c r="M105" t="s">
        <v>20</v>
      </c>
      <c r="N105">
        <v>13</v>
      </c>
      <c r="O105">
        <v>100</v>
      </c>
      <c r="P105" t="str">
        <f t="shared" si="11"/>
        <v>Fully Finished</v>
      </c>
      <c r="Q105">
        <v>21</v>
      </c>
      <c r="R105" t="s">
        <v>21</v>
      </c>
    </row>
    <row r="106" spans="1:18" x14ac:dyDescent="0.2">
      <c r="A106" t="s">
        <v>270</v>
      </c>
      <c r="B106" t="s">
        <v>271</v>
      </c>
      <c r="C106" t="s">
        <v>170</v>
      </c>
      <c r="D106" t="s">
        <v>272</v>
      </c>
      <c r="E106">
        <v>2024</v>
      </c>
      <c r="G106" t="s">
        <v>273</v>
      </c>
      <c r="H106">
        <v>9781761345722</v>
      </c>
      <c r="I106" s="1">
        <v>45536</v>
      </c>
      <c r="J106" t="str">
        <f t="shared" si="9"/>
        <v>September</v>
      </c>
      <c r="K106" s="3">
        <f t="shared" si="10"/>
        <v>2024</v>
      </c>
      <c r="L106" s="2">
        <v>4.83958333333333</v>
      </c>
      <c r="M106" t="s">
        <v>20</v>
      </c>
      <c r="N106">
        <v>7</v>
      </c>
      <c r="O106">
        <v>100</v>
      </c>
      <c r="P106" t="str">
        <f t="shared" si="11"/>
        <v>Fully Finished</v>
      </c>
      <c r="Q106">
        <v>20</v>
      </c>
      <c r="R106" t="s">
        <v>34</v>
      </c>
    </row>
    <row r="107" spans="1:18" x14ac:dyDescent="0.2">
      <c r="A107" t="s">
        <v>274</v>
      </c>
      <c r="B107" t="s">
        <v>275</v>
      </c>
      <c r="C107" t="s">
        <v>17</v>
      </c>
      <c r="D107" t="s">
        <v>48</v>
      </c>
      <c r="E107">
        <v>2024</v>
      </c>
      <c r="G107" t="s">
        <v>276</v>
      </c>
      <c r="H107"/>
      <c r="I107" s="1">
        <v>45634</v>
      </c>
      <c r="J107" t="str">
        <f t="shared" si="9"/>
        <v>December</v>
      </c>
      <c r="K107" s="3">
        <f t="shared" si="10"/>
        <v>2024</v>
      </c>
      <c r="L107" s="2">
        <v>4.8812499999999996</v>
      </c>
      <c r="M107" t="s">
        <v>20</v>
      </c>
      <c r="N107">
        <v>10</v>
      </c>
      <c r="O107">
        <v>100</v>
      </c>
      <c r="P107" t="str">
        <f t="shared" si="11"/>
        <v>Fully Finished</v>
      </c>
      <c r="Q107">
        <v>21</v>
      </c>
      <c r="R107" t="s">
        <v>21</v>
      </c>
    </row>
    <row r="108" spans="1:18" x14ac:dyDescent="0.2">
      <c r="A108" t="s">
        <v>295</v>
      </c>
      <c r="B108" t="s">
        <v>296</v>
      </c>
      <c r="C108" t="s">
        <v>37</v>
      </c>
      <c r="D108" t="s">
        <v>324</v>
      </c>
      <c r="E108">
        <v>2024</v>
      </c>
      <c r="H108"/>
      <c r="I108" s="1">
        <v>45617</v>
      </c>
      <c r="J108" t="str">
        <f t="shared" si="9"/>
        <v>November</v>
      </c>
      <c r="K108" s="3">
        <f t="shared" si="10"/>
        <v>2024</v>
      </c>
      <c r="L108" s="2">
        <v>5.3812499999999996</v>
      </c>
      <c r="M108" t="s">
        <v>20</v>
      </c>
      <c r="N108">
        <v>13</v>
      </c>
      <c r="O108">
        <v>100</v>
      </c>
      <c r="P108" t="str">
        <f t="shared" si="11"/>
        <v>Fully Finished</v>
      </c>
      <c r="Q108">
        <v>21</v>
      </c>
      <c r="R108" t="s">
        <v>21</v>
      </c>
    </row>
    <row r="109" spans="1:18" x14ac:dyDescent="0.2">
      <c r="A109" t="s">
        <v>309</v>
      </c>
      <c r="B109" t="s">
        <v>310</v>
      </c>
      <c r="C109" t="s">
        <v>180</v>
      </c>
      <c r="D109" t="s">
        <v>332</v>
      </c>
      <c r="E109">
        <v>2024</v>
      </c>
      <c r="G109" t="s">
        <v>266</v>
      </c>
      <c r="H109"/>
      <c r="I109" s="1">
        <v>45324</v>
      </c>
      <c r="J109" t="str">
        <f t="shared" si="9"/>
        <v>February</v>
      </c>
      <c r="K109" s="3">
        <f t="shared" si="10"/>
        <v>2024</v>
      </c>
      <c r="L109" s="2">
        <v>5.6729166666666702</v>
      </c>
      <c r="M109" t="s">
        <v>20</v>
      </c>
      <c r="N109">
        <v>5</v>
      </c>
      <c r="O109">
        <v>100</v>
      </c>
      <c r="P109" t="str">
        <f t="shared" si="11"/>
        <v>Fully Finished</v>
      </c>
      <c r="Q109">
        <v>21</v>
      </c>
      <c r="R109" t="s">
        <v>21</v>
      </c>
    </row>
    <row r="110" spans="1:18" x14ac:dyDescent="0.2">
      <c r="A110" t="s">
        <v>313</v>
      </c>
      <c r="B110" t="s">
        <v>314</v>
      </c>
      <c r="C110" t="s">
        <v>349</v>
      </c>
      <c r="D110" t="s">
        <v>315</v>
      </c>
      <c r="E110">
        <v>2024</v>
      </c>
      <c r="G110" t="s">
        <v>49</v>
      </c>
      <c r="H110"/>
      <c r="I110" s="1">
        <v>45525</v>
      </c>
      <c r="J110" t="str">
        <f t="shared" si="9"/>
        <v>August</v>
      </c>
      <c r="K110" s="3">
        <f t="shared" si="10"/>
        <v>2024</v>
      </c>
      <c r="L110" s="2">
        <v>5.7979166666666702</v>
      </c>
      <c r="M110" t="s">
        <v>20</v>
      </c>
      <c r="N110">
        <v>6</v>
      </c>
      <c r="O110">
        <v>99</v>
      </c>
      <c r="P110" t="str">
        <f t="shared" si="11"/>
        <v>Nearly There (75–99%)</v>
      </c>
      <c r="Q110">
        <v>21</v>
      </c>
      <c r="R110" t="s">
        <v>21</v>
      </c>
    </row>
    <row r="111" spans="1:18" x14ac:dyDescent="0.2">
      <c r="A111" t="s">
        <v>35</v>
      </c>
      <c r="B111" t="s">
        <v>36</v>
      </c>
      <c r="C111" t="s">
        <v>37</v>
      </c>
      <c r="D111" t="s">
        <v>329</v>
      </c>
      <c r="E111">
        <v>2025</v>
      </c>
      <c r="G111" t="s">
        <v>38</v>
      </c>
      <c r="H111"/>
      <c r="I111" s="1">
        <v>45725</v>
      </c>
      <c r="J111" t="str">
        <f t="shared" si="9"/>
        <v>March</v>
      </c>
      <c r="K111" s="3">
        <f t="shared" si="10"/>
        <v>2025</v>
      </c>
      <c r="L111" s="2">
        <v>0.46458333333333302</v>
      </c>
      <c r="M111" t="s">
        <v>20</v>
      </c>
      <c r="N111">
        <v>7</v>
      </c>
      <c r="O111">
        <v>100</v>
      </c>
      <c r="P111" t="str">
        <f t="shared" si="11"/>
        <v>Fully Finished</v>
      </c>
      <c r="Q111">
        <v>21</v>
      </c>
      <c r="R111" t="s">
        <v>21</v>
      </c>
    </row>
    <row r="112" spans="1:18" x14ac:dyDescent="0.2">
      <c r="A112" t="s">
        <v>46</v>
      </c>
      <c r="B112" t="s">
        <v>47</v>
      </c>
      <c r="C112" t="s">
        <v>17</v>
      </c>
      <c r="D112" t="s">
        <v>48</v>
      </c>
      <c r="E112">
        <v>2025</v>
      </c>
      <c r="G112" t="s">
        <v>49</v>
      </c>
      <c r="H112"/>
      <c r="I112" s="1">
        <v>45821</v>
      </c>
      <c r="J112" t="str">
        <f t="shared" si="9"/>
        <v>June</v>
      </c>
      <c r="K112" s="3">
        <f t="shared" si="10"/>
        <v>2025</v>
      </c>
      <c r="L112" s="2">
        <v>0.63124999999999998</v>
      </c>
      <c r="M112" t="s">
        <v>20</v>
      </c>
      <c r="N112">
        <v>10</v>
      </c>
      <c r="O112">
        <v>100</v>
      </c>
      <c r="P112" t="str">
        <f t="shared" si="11"/>
        <v>Fully Finished</v>
      </c>
      <c r="Q112">
        <v>21</v>
      </c>
      <c r="R112" t="s">
        <v>21</v>
      </c>
    </row>
    <row r="113" spans="1:18" x14ac:dyDescent="0.2">
      <c r="A113" t="s">
        <v>61</v>
      </c>
      <c r="B113" t="s">
        <v>62</v>
      </c>
      <c r="C113" t="s">
        <v>37</v>
      </c>
      <c r="D113" t="s">
        <v>321</v>
      </c>
      <c r="E113">
        <v>2025</v>
      </c>
      <c r="G113" t="s">
        <v>63</v>
      </c>
      <c r="H113"/>
      <c r="I113" s="1">
        <v>45784</v>
      </c>
      <c r="J113" t="str">
        <f t="shared" si="9"/>
        <v>May</v>
      </c>
      <c r="K113" s="3">
        <f t="shared" si="10"/>
        <v>2025</v>
      </c>
      <c r="L113" s="2">
        <v>0.83958333333333302</v>
      </c>
      <c r="M113" t="s">
        <v>20</v>
      </c>
      <c r="N113">
        <v>7</v>
      </c>
      <c r="O113">
        <v>100</v>
      </c>
      <c r="P113" t="str">
        <f t="shared" si="11"/>
        <v>Fully Finished</v>
      </c>
      <c r="Q113">
        <v>21</v>
      </c>
      <c r="R113" t="s">
        <v>21</v>
      </c>
    </row>
    <row r="114" spans="1:18" x14ac:dyDescent="0.2">
      <c r="A114" t="s">
        <v>94</v>
      </c>
      <c r="B114" t="s">
        <v>95</v>
      </c>
      <c r="C114" t="s">
        <v>37</v>
      </c>
      <c r="D114" t="s">
        <v>96</v>
      </c>
      <c r="E114">
        <v>2025</v>
      </c>
      <c r="G114" t="s">
        <v>97</v>
      </c>
      <c r="H114"/>
      <c r="I114" s="1">
        <v>45768</v>
      </c>
      <c r="J114" t="str">
        <f t="shared" si="9"/>
        <v>April</v>
      </c>
      <c r="K114" s="3">
        <f t="shared" si="10"/>
        <v>2025</v>
      </c>
      <c r="L114" s="2">
        <v>1.33958333333333</v>
      </c>
      <c r="M114" t="s">
        <v>20</v>
      </c>
      <c r="N114">
        <v>3</v>
      </c>
      <c r="O114">
        <v>100</v>
      </c>
      <c r="P114" t="str">
        <f t="shared" si="11"/>
        <v>Fully Finished</v>
      </c>
      <c r="Q114">
        <v>20</v>
      </c>
      <c r="R114" t="s">
        <v>34</v>
      </c>
    </row>
    <row r="115" spans="1:18" x14ac:dyDescent="0.2">
      <c r="A115" t="s">
        <v>104</v>
      </c>
      <c r="B115" t="s">
        <v>105</v>
      </c>
      <c r="C115" t="s">
        <v>37</v>
      </c>
      <c r="D115" t="s">
        <v>353</v>
      </c>
      <c r="E115">
        <v>2025</v>
      </c>
      <c r="G115" t="s">
        <v>106</v>
      </c>
      <c r="H115"/>
      <c r="I115" s="1">
        <v>45789</v>
      </c>
      <c r="J115" t="str">
        <f t="shared" si="9"/>
        <v>May</v>
      </c>
      <c r="K115" s="3">
        <f t="shared" si="10"/>
        <v>2025</v>
      </c>
      <c r="L115" s="2">
        <v>1.58958333333333</v>
      </c>
      <c r="M115" t="s">
        <v>20</v>
      </c>
      <c r="N115">
        <v>6</v>
      </c>
      <c r="O115">
        <v>99</v>
      </c>
      <c r="P115" t="str">
        <f t="shared" si="11"/>
        <v>Nearly There (75–99%)</v>
      </c>
      <c r="Q115">
        <v>21</v>
      </c>
      <c r="R115" t="s">
        <v>34</v>
      </c>
    </row>
    <row r="116" spans="1:18" x14ac:dyDescent="0.2">
      <c r="A116" t="s">
        <v>118</v>
      </c>
      <c r="B116" t="s">
        <v>119</v>
      </c>
      <c r="C116" t="s">
        <v>37</v>
      </c>
      <c r="D116" t="s">
        <v>120</v>
      </c>
      <c r="E116">
        <v>2025</v>
      </c>
      <c r="G116" t="s">
        <v>38</v>
      </c>
      <c r="H116"/>
      <c r="I116" s="1">
        <v>45817</v>
      </c>
      <c r="J116" t="str">
        <f t="shared" si="9"/>
        <v>June</v>
      </c>
      <c r="K116" s="3">
        <f t="shared" si="10"/>
        <v>2025</v>
      </c>
      <c r="L116" s="2">
        <v>1.83958333333333</v>
      </c>
      <c r="M116" t="s">
        <v>20</v>
      </c>
      <c r="N116">
        <v>10</v>
      </c>
      <c r="O116">
        <v>100</v>
      </c>
      <c r="P116" t="str">
        <f t="shared" si="11"/>
        <v>Fully Finished</v>
      </c>
      <c r="Q116">
        <v>21</v>
      </c>
      <c r="R116" t="s">
        <v>21</v>
      </c>
    </row>
    <row r="117" spans="1:18" x14ac:dyDescent="0.2">
      <c r="A117" t="s">
        <v>121</v>
      </c>
      <c r="B117" t="s">
        <v>122</v>
      </c>
      <c r="C117" t="s">
        <v>37</v>
      </c>
      <c r="D117" t="s">
        <v>326</v>
      </c>
      <c r="E117">
        <v>2025</v>
      </c>
      <c r="G117" t="s">
        <v>123</v>
      </c>
      <c r="H117"/>
      <c r="I117" s="1">
        <v>45678</v>
      </c>
      <c r="J117" t="str">
        <f t="shared" si="9"/>
        <v>January</v>
      </c>
      <c r="K117" s="3">
        <f t="shared" si="10"/>
        <v>2025</v>
      </c>
      <c r="L117" s="2">
        <v>1.8812500000000001</v>
      </c>
      <c r="M117" t="s">
        <v>20</v>
      </c>
      <c r="N117">
        <v>6</v>
      </c>
      <c r="O117">
        <v>100</v>
      </c>
      <c r="P117" t="str">
        <f t="shared" si="11"/>
        <v>Fully Finished</v>
      </c>
      <c r="Q117">
        <v>21</v>
      </c>
      <c r="R117" t="s">
        <v>34</v>
      </c>
    </row>
    <row r="118" spans="1:18" x14ac:dyDescent="0.2">
      <c r="A118" t="s">
        <v>166</v>
      </c>
      <c r="B118" t="s">
        <v>167</v>
      </c>
      <c r="C118" t="s">
        <v>17</v>
      </c>
      <c r="D118" t="s">
        <v>90</v>
      </c>
      <c r="E118">
        <v>2025</v>
      </c>
      <c r="G118" t="s">
        <v>38</v>
      </c>
      <c r="H118"/>
      <c r="I118" s="1">
        <v>45786</v>
      </c>
      <c r="J118" t="str">
        <f t="shared" si="9"/>
        <v>May</v>
      </c>
      <c r="K118" s="3">
        <f t="shared" si="10"/>
        <v>2025</v>
      </c>
      <c r="L118" s="2">
        <v>2.6729166666666702</v>
      </c>
      <c r="M118" t="s">
        <v>20</v>
      </c>
      <c r="N118">
        <v>15</v>
      </c>
      <c r="O118">
        <v>20</v>
      </c>
      <c r="P118" t="str">
        <f t="shared" si="11"/>
        <v>Barely Started (0–24%)</v>
      </c>
      <c r="Q118">
        <v>21</v>
      </c>
      <c r="R118" t="s">
        <v>21</v>
      </c>
    </row>
    <row r="119" spans="1:18" x14ac:dyDescent="0.2">
      <c r="A119" t="s">
        <v>181</v>
      </c>
      <c r="B119" t="s">
        <v>108</v>
      </c>
      <c r="C119" t="s">
        <v>17</v>
      </c>
      <c r="D119" t="s">
        <v>18</v>
      </c>
      <c r="E119">
        <v>2025</v>
      </c>
      <c r="F119">
        <v>3</v>
      </c>
      <c r="G119" t="s">
        <v>19</v>
      </c>
      <c r="H119"/>
      <c r="I119" s="1">
        <v>45760</v>
      </c>
      <c r="J119" t="str">
        <f t="shared" si="9"/>
        <v>April</v>
      </c>
      <c r="K119" s="3">
        <f t="shared" si="10"/>
        <v>2025</v>
      </c>
      <c r="L119" s="2">
        <v>2.8812500000000001</v>
      </c>
      <c r="M119" t="s">
        <v>20</v>
      </c>
      <c r="N119">
        <v>24</v>
      </c>
      <c r="O119">
        <v>100</v>
      </c>
      <c r="P119" t="str">
        <f t="shared" si="11"/>
        <v>Fully Finished</v>
      </c>
      <c r="Q119">
        <v>21</v>
      </c>
      <c r="R119" t="s">
        <v>21</v>
      </c>
    </row>
    <row r="120" spans="1:18" x14ac:dyDescent="0.2">
      <c r="A120" t="s">
        <v>187</v>
      </c>
      <c r="B120" t="s">
        <v>188</v>
      </c>
      <c r="C120" t="s">
        <v>37</v>
      </c>
      <c r="D120" t="s">
        <v>337</v>
      </c>
      <c r="E120">
        <v>2025</v>
      </c>
      <c r="G120" t="s">
        <v>53</v>
      </c>
      <c r="H120"/>
      <c r="I120" s="1">
        <v>45817</v>
      </c>
      <c r="J120" t="str">
        <f t="shared" si="9"/>
        <v>June</v>
      </c>
      <c r="K120" s="3">
        <f t="shared" si="10"/>
        <v>2025</v>
      </c>
      <c r="L120" s="2">
        <v>2.96458333333333</v>
      </c>
      <c r="M120" t="s">
        <v>20</v>
      </c>
      <c r="N120">
        <v>9</v>
      </c>
      <c r="O120">
        <v>88</v>
      </c>
      <c r="P120" t="str">
        <f t="shared" si="11"/>
        <v>Nearly There (75–99%)</v>
      </c>
      <c r="Q120">
        <v>19</v>
      </c>
      <c r="R120" t="s">
        <v>21</v>
      </c>
    </row>
    <row r="121" spans="1:18" x14ac:dyDescent="0.2">
      <c r="A121" t="s">
        <v>193</v>
      </c>
      <c r="B121" t="s">
        <v>194</v>
      </c>
      <c r="C121" t="s">
        <v>17</v>
      </c>
      <c r="D121" t="s">
        <v>44</v>
      </c>
      <c r="E121">
        <v>2025</v>
      </c>
      <c r="G121" t="s">
        <v>38</v>
      </c>
      <c r="H121"/>
      <c r="I121" s="1">
        <v>45832</v>
      </c>
      <c r="J121" t="str">
        <f t="shared" si="9"/>
        <v>June</v>
      </c>
      <c r="K121" s="3">
        <f t="shared" si="10"/>
        <v>2025</v>
      </c>
      <c r="L121" s="2">
        <v>3.08958333333333</v>
      </c>
      <c r="M121" t="s">
        <v>20</v>
      </c>
      <c r="N121">
        <v>10</v>
      </c>
      <c r="O121">
        <v>99</v>
      </c>
      <c r="P121" t="str">
        <f t="shared" si="11"/>
        <v>Nearly There (75–99%)</v>
      </c>
      <c r="Q121">
        <v>21</v>
      </c>
      <c r="R121" t="s">
        <v>34</v>
      </c>
    </row>
    <row r="122" spans="1:18" x14ac:dyDescent="0.2">
      <c r="A122" t="s">
        <v>205</v>
      </c>
      <c r="B122" t="s">
        <v>206</v>
      </c>
      <c r="C122" t="s">
        <v>349</v>
      </c>
      <c r="D122" t="s">
        <v>336</v>
      </c>
      <c r="E122">
        <v>2025</v>
      </c>
      <c r="G122" t="s">
        <v>53</v>
      </c>
      <c r="H122"/>
      <c r="I122" s="1">
        <v>45723</v>
      </c>
      <c r="J122" t="str">
        <f t="shared" si="9"/>
        <v>March</v>
      </c>
      <c r="K122" s="3">
        <f t="shared" si="10"/>
        <v>2025</v>
      </c>
      <c r="L122" s="2">
        <v>3.4229166666666702</v>
      </c>
      <c r="M122" t="s">
        <v>20</v>
      </c>
      <c r="N122">
        <v>8</v>
      </c>
      <c r="O122">
        <v>100</v>
      </c>
      <c r="P122" t="str">
        <f t="shared" si="11"/>
        <v>Fully Finished</v>
      </c>
      <c r="Q122">
        <v>21</v>
      </c>
      <c r="R122" t="s">
        <v>21</v>
      </c>
    </row>
    <row r="123" spans="1:18" x14ac:dyDescent="0.2">
      <c r="A123" t="s">
        <v>231</v>
      </c>
      <c r="B123" t="s">
        <v>73</v>
      </c>
      <c r="C123" t="s">
        <v>17</v>
      </c>
      <c r="D123" t="s">
        <v>75</v>
      </c>
      <c r="E123">
        <v>2025</v>
      </c>
      <c r="F123">
        <v>5</v>
      </c>
      <c r="G123" t="s">
        <v>232</v>
      </c>
      <c r="H123"/>
      <c r="I123" s="1">
        <v>45760</v>
      </c>
      <c r="J123" t="str">
        <f t="shared" si="9"/>
        <v>April</v>
      </c>
      <c r="K123" s="3">
        <f t="shared" si="10"/>
        <v>2025</v>
      </c>
      <c r="L123" s="2">
        <v>3.83958333333333</v>
      </c>
      <c r="M123" t="s">
        <v>20</v>
      </c>
      <c r="N123">
        <v>13</v>
      </c>
      <c r="O123">
        <v>100</v>
      </c>
      <c r="P123" t="str">
        <f t="shared" si="11"/>
        <v>Fully Finished</v>
      </c>
      <c r="Q123">
        <v>21</v>
      </c>
      <c r="R123" t="s">
        <v>21</v>
      </c>
    </row>
    <row r="124" spans="1:18" x14ac:dyDescent="0.2">
      <c r="A124" t="s">
        <v>254</v>
      </c>
      <c r="B124" t="s">
        <v>255</v>
      </c>
      <c r="C124" t="s">
        <v>17</v>
      </c>
      <c r="D124" t="s">
        <v>44</v>
      </c>
      <c r="E124">
        <v>2025</v>
      </c>
      <c r="G124" t="s">
        <v>256</v>
      </c>
      <c r="H124"/>
      <c r="I124" s="1">
        <v>45794</v>
      </c>
      <c r="J124" t="str">
        <f t="shared" si="9"/>
        <v>May</v>
      </c>
      <c r="K124" s="3">
        <f t="shared" si="10"/>
        <v>2025</v>
      </c>
      <c r="L124" s="2">
        <v>4.46458333333333</v>
      </c>
      <c r="M124" t="s">
        <v>20</v>
      </c>
      <c r="N124">
        <v>8</v>
      </c>
      <c r="O124">
        <v>99</v>
      </c>
      <c r="P124" t="str">
        <f t="shared" si="11"/>
        <v>Nearly There (75–99%)</v>
      </c>
      <c r="Q124">
        <v>20</v>
      </c>
      <c r="R124" t="s">
        <v>34</v>
      </c>
    </row>
    <row r="125" spans="1:18" x14ac:dyDescent="0.2">
      <c r="A125" t="s">
        <v>259</v>
      </c>
      <c r="B125" t="s">
        <v>260</v>
      </c>
      <c r="C125" t="s">
        <v>37</v>
      </c>
      <c r="D125" t="s">
        <v>52</v>
      </c>
      <c r="E125">
        <v>2025</v>
      </c>
      <c r="G125" t="s">
        <v>199</v>
      </c>
      <c r="H125"/>
      <c r="I125" s="1">
        <v>45815</v>
      </c>
      <c r="J125" t="str">
        <f t="shared" si="9"/>
        <v>June</v>
      </c>
      <c r="K125" s="3">
        <f t="shared" si="10"/>
        <v>2025</v>
      </c>
      <c r="L125" s="2">
        <v>4.58958333333333</v>
      </c>
      <c r="M125" t="s">
        <v>20</v>
      </c>
      <c r="N125">
        <v>11</v>
      </c>
      <c r="O125">
        <v>100</v>
      </c>
      <c r="P125" t="str">
        <f t="shared" si="11"/>
        <v>Fully Finished</v>
      </c>
      <c r="Q125">
        <v>21</v>
      </c>
      <c r="R125" t="s">
        <v>21</v>
      </c>
    </row>
    <row r="126" spans="1:18" x14ac:dyDescent="0.2">
      <c r="A126" t="s">
        <v>280</v>
      </c>
      <c r="B126" t="s">
        <v>281</v>
      </c>
      <c r="C126" t="s">
        <v>17</v>
      </c>
      <c r="D126" t="s">
        <v>320</v>
      </c>
      <c r="E126">
        <v>2025</v>
      </c>
      <c r="G126" t="s">
        <v>158</v>
      </c>
      <c r="H126"/>
      <c r="I126" s="1">
        <v>45778</v>
      </c>
      <c r="J126" t="str">
        <f t="shared" si="9"/>
        <v>May</v>
      </c>
      <c r="K126" s="3">
        <f t="shared" si="10"/>
        <v>2025</v>
      </c>
      <c r="L126" s="2">
        <v>4.96458333333333</v>
      </c>
      <c r="M126" t="s">
        <v>20</v>
      </c>
      <c r="N126">
        <v>9</v>
      </c>
      <c r="O126">
        <v>87</v>
      </c>
      <c r="P126" t="str">
        <f t="shared" si="11"/>
        <v>Nearly There (75–99%)</v>
      </c>
      <c r="Q126">
        <v>19</v>
      </c>
      <c r="R126" t="s">
        <v>34</v>
      </c>
    </row>
    <row r="127" spans="1:18" x14ac:dyDescent="0.2">
      <c r="A127" t="s">
        <v>306</v>
      </c>
      <c r="B127" t="s">
        <v>307</v>
      </c>
      <c r="C127" t="s">
        <v>17</v>
      </c>
      <c r="D127" t="s">
        <v>44</v>
      </c>
      <c r="E127">
        <v>2025</v>
      </c>
      <c r="G127" t="s">
        <v>158</v>
      </c>
      <c r="H127"/>
      <c r="I127" s="1">
        <v>45810</v>
      </c>
      <c r="J127" t="str">
        <f t="shared" si="9"/>
        <v>June</v>
      </c>
      <c r="K127" s="3">
        <f t="shared" si="10"/>
        <v>2025</v>
      </c>
      <c r="L127" s="2">
        <v>5.58958333333333</v>
      </c>
      <c r="M127" t="s">
        <v>20</v>
      </c>
      <c r="N127">
        <v>9</v>
      </c>
      <c r="O127">
        <v>98</v>
      </c>
      <c r="P127" t="str">
        <f t="shared" si="11"/>
        <v>Nearly There (75–99%)</v>
      </c>
      <c r="Q127">
        <v>10</v>
      </c>
      <c r="R127" t="s">
        <v>34</v>
      </c>
    </row>
    <row r="128" spans="1:18" x14ac:dyDescent="0.2">
      <c r="A128" t="s">
        <v>117</v>
      </c>
      <c r="B128" t="s">
        <v>16</v>
      </c>
      <c r="C128" t="s">
        <v>17</v>
      </c>
      <c r="D128" t="s">
        <v>29</v>
      </c>
      <c r="F128">
        <v>2</v>
      </c>
      <c r="H128"/>
      <c r="I128" s="1">
        <v>45312</v>
      </c>
      <c r="J128" t="str">
        <f t="shared" si="9"/>
        <v>January</v>
      </c>
      <c r="K128" s="3">
        <f t="shared" si="10"/>
        <v>2024</v>
      </c>
      <c r="L128" s="2">
        <v>1.7979166666666699</v>
      </c>
      <c r="M128" t="s">
        <v>20</v>
      </c>
      <c r="N128">
        <v>30</v>
      </c>
      <c r="O128">
        <v>100</v>
      </c>
      <c r="P128" t="str">
        <f t="shared" si="11"/>
        <v>Fully Finished</v>
      </c>
      <c r="Q128">
        <v>21</v>
      </c>
      <c r="R128" t="s">
        <v>21</v>
      </c>
    </row>
    <row r="129" spans="1:18" x14ac:dyDescent="0.2">
      <c r="A129" t="s">
        <v>150</v>
      </c>
      <c r="B129" t="s">
        <v>143</v>
      </c>
      <c r="C129" t="s">
        <v>341</v>
      </c>
      <c r="D129" t="s">
        <v>151</v>
      </c>
      <c r="G129" t="s">
        <v>152</v>
      </c>
      <c r="H129">
        <v>9780312424986</v>
      </c>
      <c r="I129" s="1">
        <v>43831</v>
      </c>
      <c r="J129" t="str">
        <f t="shared" si="9"/>
        <v>January</v>
      </c>
      <c r="K129" s="3">
        <f t="shared" si="10"/>
        <v>2020</v>
      </c>
      <c r="L129" s="2">
        <v>2.3812500000000001</v>
      </c>
      <c r="M129" t="s">
        <v>20</v>
      </c>
      <c r="N129">
        <v>30</v>
      </c>
      <c r="O129">
        <v>100</v>
      </c>
      <c r="P129" t="str">
        <f t="shared" si="11"/>
        <v>Fully Finished</v>
      </c>
      <c r="Q129">
        <v>21</v>
      </c>
      <c r="R129" t="s">
        <v>21</v>
      </c>
    </row>
    <row r="130" spans="1:18" x14ac:dyDescent="0.2">
      <c r="H130"/>
      <c r="I130"/>
      <c r="K130"/>
      <c r="L130"/>
    </row>
  </sheetData>
  <conditionalFormatting sqref="H1:H129 H131:H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DE23-039B-7E48-AB5C-98EB78A58095}">
  <dimension ref="A1:B8"/>
  <sheetViews>
    <sheetView tabSelected="1" topLeftCell="B1" workbookViewId="0">
      <selection activeCell="C6" sqref="C6"/>
    </sheetView>
  </sheetViews>
  <sheetFormatPr baseColWidth="10" defaultRowHeight="15" x14ac:dyDescent="0.2"/>
  <cols>
    <col min="1" max="1" width="10" bestFit="1" customWidth="1"/>
    <col min="2" max="2" width="13.6640625" bestFit="1" customWidth="1"/>
    <col min="3" max="3" width="14" bestFit="1" customWidth="1"/>
  </cols>
  <sheetData>
    <row r="1" spans="1:2" x14ac:dyDescent="0.2">
      <c r="A1" s="4" t="s">
        <v>344</v>
      </c>
      <c r="B1" s="9" t="s">
        <v>348</v>
      </c>
    </row>
    <row r="2" spans="1:2" x14ac:dyDescent="0.2">
      <c r="A2" s="5">
        <v>2020</v>
      </c>
      <c r="B2" s="8">
        <v>9</v>
      </c>
    </row>
    <row r="3" spans="1:2" x14ac:dyDescent="0.2">
      <c r="A3" s="5">
        <v>2021</v>
      </c>
      <c r="B3" s="8">
        <v>13</v>
      </c>
    </row>
    <row r="4" spans="1:2" x14ac:dyDescent="0.2">
      <c r="A4" s="5">
        <v>2022</v>
      </c>
      <c r="B4" s="8">
        <v>6</v>
      </c>
    </row>
    <row r="5" spans="1:2" x14ac:dyDescent="0.2">
      <c r="A5" s="5">
        <v>2023</v>
      </c>
      <c r="B5" s="8">
        <v>29</v>
      </c>
    </row>
    <row r="6" spans="1:2" x14ac:dyDescent="0.2">
      <c r="A6" s="5">
        <v>2024</v>
      </c>
      <c r="B6" s="8">
        <v>46</v>
      </c>
    </row>
    <row r="7" spans="1:2" x14ac:dyDescent="0.2">
      <c r="A7" s="5">
        <v>2025</v>
      </c>
      <c r="B7" s="8">
        <v>25</v>
      </c>
    </row>
    <row r="8" spans="1:2" x14ac:dyDescent="0.2">
      <c r="A8" s="5" t="s">
        <v>346</v>
      </c>
      <c r="B8" s="8">
        <v>128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3246-C5EB-F548-A1C9-C0345885DE29}">
  <dimension ref="A1:D21"/>
  <sheetViews>
    <sheetView zoomScale="134" workbookViewId="0">
      <selection activeCell="A12" sqref="A12:D21"/>
    </sheetView>
  </sheetViews>
  <sheetFormatPr baseColWidth="10" defaultRowHeight="15" x14ac:dyDescent="0.2"/>
  <cols>
    <col min="1" max="1" width="16" bestFit="1" customWidth="1"/>
    <col min="2" max="2" width="6.6640625" bestFit="1" customWidth="1"/>
    <col min="3" max="3" width="11.5" customWidth="1"/>
    <col min="4" max="4" width="18.83203125" customWidth="1"/>
  </cols>
  <sheetData>
    <row r="1" spans="1:4" x14ac:dyDescent="0.2">
      <c r="A1" s="4" t="s">
        <v>2</v>
      </c>
      <c r="B1" t="s">
        <v>375</v>
      </c>
      <c r="C1" t="s">
        <v>374</v>
      </c>
      <c r="D1" t="s">
        <v>376</v>
      </c>
    </row>
    <row r="2" spans="1:4" x14ac:dyDescent="0.2">
      <c r="A2" s="7" t="s">
        <v>340</v>
      </c>
      <c r="B2" s="6">
        <v>11</v>
      </c>
      <c r="C2">
        <f>COUNTIFS(Table1[Genre],A2,Table1[Reading status (%)],100)</f>
        <v>7</v>
      </c>
      <c r="D2">
        <f>C2/B2*100</f>
        <v>63.636363636363633</v>
      </c>
    </row>
    <row r="3" spans="1:4" x14ac:dyDescent="0.2">
      <c r="A3" s="7" t="s">
        <v>17</v>
      </c>
      <c r="B3" s="6">
        <v>56</v>
      </c>
      <c r="C3">
        <f>COUNTIFS(Table1[Genre],A3,Table1[Reading status (%)],100)</f>
        <v>29</v>
      </c>
      <c r="D3">
        <f t="shared" ref="D3:D9" si="0">C3/B3*100</f>
        <v>51.785714285714292</v>
      </c>
    </row>
    <row r="4" spans="1:4" x14ac:dyDescent="0.2">
      <c r="A4" s="7" t="s">
        <v>343</v>
      </c>
      <c r="B4" s="6">
        <v>7</v>
      </c>
      <c r="C4">
        <f>COUNTIFS(Table1[Genre],A4,Table1[Reading status (%)],100)</f>
        <v>2</v>
      </c>
      <c r="D4">
        <f t="shared" si="0"/>
        <v>28.571428571428569</v>
      </c>
    </row>
    <row r="5" spans="1:4" x14ac:dyDescent="0.2">
      <c r="A5" s="7" t="s">
        <v>244</v>
      </c>
      <c r="B5" s="6">
        <v>6</v>
      </c>
      <c r="C5">
        <f>COUNTIFS(Table1[Genre],A5,Table1[Reading status (%)],100)</f>
        <v>3</v>
      </c>
      <c r="D5">
        <f t="shared" si="0"/>
        <v>50</v>
      </c>
    </row>
    <row r="6" spans="1:4" x14ac:dyDescent="0.2">
      <c r="A6" s="7" t="s">
        <v>341</v>
      </c>
      <c r="B6" s="6">
        <v>15</v>
      </c>
      <c r="C6">
        <f>COUNTIFS(Table1[Genre],A6,Table1[Reading status (%)],100)</f>
        <v>11</v>
      </c>
      <c r="D6">
        <f t="shared" si="0"/>
        <v>73.333333333333329</v>
      </c>
    </row>
    <row r="7" spans="1:4" x14ac:dyDescent="0.2">
      <c r="A7" s="7" t="s">
        <v>37</v>
      </c>
      <c r="B7" s="6">
        <v>17</v>
      </c>
      <c r="C7">
        <f>COUNTIFS(Table1[Genre],A7,Table1[Reading status (%)],100)</f>
        <v>10</v>
      </c>
      <c r="D7">
        <f t="shared" si="0"/>
        <v>58.82352941176471</v>
      </c>
    </row>
    <row r="8" spans="1:4" x14ac:dyDescent="0.2">
      <c r="A8" s="7" t="s">
        <v>354</v>
      </c>
      <c r="B8" s="6">
        <v>4</v>
      </c>
      <c r="C8">
        <f>COUNTIFS(Table1[Genre],A8,Table1[Reading status (%)],100)</f>
        <v>1</v>
      </c>
      <c r="D8">
        <f t="shared" si="0"/>
        <v>25</v>
      </c>
    </row>
    <row r="9" spans="1:4" x14ac:dyDescent="0.2">
      <c r="A9" s="7" t="s">
        <v>349</v>
      </c>
      <c r="B9" s="6">
        <v>10</v>
      </c>
      <c r="C9">
        <f>COUNTIFS(Table1[Genre],A9,Table1[Reading status (%)],100)</f>
        <v>5</v>
      </c>
      <c r="D9">
        <f t="shared" si="0"/>
        <v>50</v>
      </c>
    </row>
    <row r="10" spans="1:4" x14ac:dyDescent="0.2">
      <c r="A10" s="7" t="s">
        <v>346</v>
      </c>
      <c r="B10" s="6">
        <v>126</v>
      </c>
    </row>
    <row r="12" spans="1:4" x14ac:dyDescent="0.2">
      <c r="A12" t="s">
        <v>2</v>
      </c>
      <c r="B12" t="s">
        <v>375</v>
      </c>
      <c r="C12" t="s">
        <v>374</v>
      </c>
      <c r="D12" t="s">
        <v>376</v>
      </c>
    </row>
    <row r="13" spans="1:4" x14ac:dyDescent="0.2">
      <c r="A13" t="s">
        <v>340</v>
      </c>
      <c r="B13">
        <v>11</v>
      </c>
      <c r="C13">
        <v>7</v>
      </c>
      <c r="D13" s="6">
        <v>63.636363636363633</v>
      </c>
    </row>
    <row r="14" spans="1:4" x14ac:dyDescent="0.2">
      <c r="A14" t="s">
        <v>17</v>
      </c>
      <c r="B14">
        <v>56</v>
      </c>
      <c r="C14">
        <v>29</v>
      </c>
      <c r="D14" s="6">
        <v>51.785714285714292</v>
      </c>
    </row>
    <row r="15" spans="1:4" x14ac:dyDescent="0.2">
      <c r="A15" t="s">
        <v>343</v>
      </c>
      <c r="B15">
        <v>7</v>
      </c>
      <c r="C15">
        <v>2</v>
      </c>
      <c r="D15" s="6">
        <v>28.571428571428569</v>
      </c>
    </row>
    <row r="16" spans="1:4" x14ac:dyDescent="0.2">
      <c r="A16" t="s">
        <v>244</v>
      </c>
      <c r="B16">
        <v>6</v>
      </c>
      <c r="C16">
        <v>3</v>
      </c>
      <c r="D16" s="6">
        <v>50</v>
      </c>
    </row>
    <row r="17" spans="1:4" x14ac:dyDescent="0.2">
      <c r="A17" t="s">
        <v>341</v>
      </c>
      <c r="B17">
        <v>15</v>
      </c>
      <c r="C17">
        <v>11</v>
      </c>
      <c r="D17" s="6">
        <v>73.333333333333329</v>
      </c>
    </row>
    <row r="18" spans="1:4" x14ac:dyDescent="0.2">
      <c r="A18" t="s">
        <v>37</v>
      </c>
      <c r="B18">
        <v>17</v>
      </c>
      <c r="C18">
        <v>10</v>
      </c>
      <c r="D18" s="6">
        <v>58.82352941176471</v>
      </c>
    </row>
    <row r="19" spans="1:4" x14ac:dyDescent="0.2">
      <c r="A19" t="s">
        <v>354</v>
      </c>
      <c r="B19">
        <v>4</v>
      </c>
      <c r="C19">
        <v>1</v>
      </c>
      <c r="D19" s="6">
        <v>25</v>
      </c>
    </row>
    <row r="20" spans="1:4" x14ac:dyDescent="0.2">
      <c r="A20" t="s">
        <v>349</v>
      </c>
      <c r="B20">
        <v>10</v>
      </c>
      <c r="C20">
        <v>5</v>
      </c>
      <c r="D20" s="6">
        <v>50</v>
      </c>
    </row>
    <row r="21" spans="1:4" x14ac:dyDescent="0.2">
      <c r="A21" t="s">
        <v>346</v>
      </c>
      <c r="B21">
        <v>126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77EB-C82A-474F-A7FF-2C659C679427}">
  <dimension ref="A1:B6"/>
  <sheetViews>
    <sheetView workbookViewId="0">
      <selection sqref="A1:B6"/>
    </sheetView>
  </sheetViews>
  <sheetFormatPr baseColWidth="10" defaultRowHeight="15" x14ac:dyDescent="0.2"/>
  <cols>
    <col min="1" max="1" width="18" bestFit="1" customWidth="1"/>
    <col min="2" max="2" width="14.83203125" bestFit="1" customWidth="1"/>
  </cols>
  <sheetData>
    <row r="1" spans="1:2" x14ac:dyDescent="0.2">
      <c r="A1" s="4" t="s">
        <v>345</v>
      </c>
      <c r="B1" t="s">
        <v>359</v>
      </c>
    </row>
    <row r="2" spans="1:2" x14ac:dyDescent="0.2">
      <c r="A2" s="7" t="s">
        <v>377</v>
      </c>
      <c r="B2" s="8">
        <v>8</v>
      </c>
    </row>
    <row r="3" spans="1:2" x14ac:dyDescent="0.2">
      <c r="A3" s="7" t="s">
        <v>378</v>
      </c>
      <c r="B3" s="8">
        <v>11</v>
      </c>
    </row>
    <row r="4" spans="1:2" x14ac:dyDescent="0.2">
      <c r="A4" s="7" t="s">
        <v>379</v>
      </c>
      <c r="B4" s="8">
        <v>38</v>
      </c>
    </row>
    <row r="5" spans="1:2" x14ac:dyDescent="0.2">
      <c r="A5" s="7" t="s">
        <v>380</v>
      </c>
      <c r="B5" s="8">
        <v>70</v>
      </c>
    </row>
    <row r="6" spans="1:2" x14ac:dyDescent="0.2">
      <c r="A6" s="7" t="s">
        <v>346</v>
      </c>
      <c r="B6" s="8">
        <v>127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45E8-30DB-814C-BC00-0CF5C3DFF291}">
  <dimension ref="A1:F18"/>
  <sheetViews>
    <sheetView zoomScale="110" workbookViewId="0">
      <selection activeCell="B2" sqref="A1:B14"/>
    </sheetView>
  </sheetViews>
  <sheetFormatPr baseColWidth="10" defaultRowHeight="15" x14ac:dyDescent="0.2"/>
  <cols>
    <col min="1" max="1" width="10" bestFit="1" customWidth="1"/>
    <col min="2" max="2" width="13.6640625" bestFit="1" customWidth="1"/>
  </cols>
  <sheetData>
    <row r="1" spans="1:2" x14ac:dyDescent="0.2">
      <c r="A1" s="4" t="s">
        <v>360</v>
      </c>
      <c r="B1" t="s">
        <v>348</v>
      </c>
    </row>
    <row r="2" spans="1:2" x14ac:dyDescent="0.2">
      <c r="A2" s="5" t="s">
        <v>369</v>
      </c>
      <c r="B2" s="8">
        <v>11</v>
      </c>
    </row>
    <row r="3" spans="1:2" x14ac:dyDescent="0.2">
      <c r="A3" s="5" t="s">
        <v>365</v>
      </c>
      <c r="B3" s="8">
        <v>17</v>
      </c>
    </row>
    <row r="4" spans="1:2" x14ac:dyDescent="0.2">
      <c r="A4" s="5" t="s">
        <v>368</v>
      </c>
      <c r="B4" s="8">
        <v>11</v>
      </c>
    </row>
    <row r="5" spans="1:2" x14ac:dyDescent="0.2">
      <c r="A5" s="5" t="s">
        <v>367</v>
      </c>
      <c r="B5" s="8">
        <v>14</v>
      </c>
    </row>
    <row r="6" spans="1:2" x14ac:dyDescent="0.2">
      <c r="A6" s="5" t="s">
        <v>362</v>
      </c>
      <c r="B6" s="8">
        <v>15</v>
      </c>
    </row>
    <row r="7" spans="1:2" x14ac:dyDescent="0.2">
      <c r="A7" s="5" t="s">
        <v>361</v>
      </c>
      <c r="B7" s="8">
        <v>19</v>
      </c>
    </row>
    <row r="8" spans="1:2" x14ac:dyDescent="0.2">
      <c r="A8" s="5" t="s">
        <v>370</v>
      </c>
      <c r="B8" s="8">
        <v>10</v>
      </c>
    </row>
    <row r="9" spans="1:2" x14ac:dyDescent="0.2">
      <c r="A9" s="5" t="s">
        <v>366</v>
      </c>
      <c r="B9" s="8">
        <v>4</v>
      </c>
    </row>
    <row r="10" spans="1:2" x14ac:dyDescent="0.2">
      <c r="A10" s="5" t="s">
        <v>372</v>
      </c>
      <c r="B10" s="8">
        <v>6</v>
      </c>
    </row>
    <row r="11" spans="1:2" x14ac:dyDescent="0.2">
      <c r="A11" s="5" t="s">
        <v>363</v>
      </c>
      <c r="B11" s="8">
        <v>11</v>
      </c>
    </row>
    <row r="12" spans="1:2" x14ac:dyDescent="0.2">
      <c r="A12" s="5" t="s">
        <v>364</v>
      </c>
      <c r="B12" s="8">
        <v>4</v>
      </c>
    </row>
    <row r="13" spans="1:2" x14ac:dyDescent="0.2">
      <c r="A13" s="5" t="s">
        <v>371</v>
      </c>
      <c r="B13" s="8">
        <v>6</v>
      </c>
    </row>
    <row r="14" spans="1:2" x14ac:dyDescent="0.2">
      <c r="A14" s="5" t="s">
        <v>346</v>
      </c>
      <c r="B14" s="8">
        <v>128</v>
      </c>
    </row>
    <row r="18" spans="6:6" x14ac:dyDescent="0.2">
      <c r="F18" t="s">
        <v>373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B2CD-2747-5940-9606-09B50555EBF5}">
  <dimension ref="A1:B4"/>
  <sheetViews>
    <sheetView workbookViewId="0">
      <selection activeCell="B2" sqref="B2:B3"/>
    </sheetView>
  </sheetViews>
  <sheetFormatPr baseColWidth="10" defaultRowHeight="15" x14ac:dyDescent="0.2"/>
  <cols>
    <col min="1" max="1" width="18.83203125" bestFit="1" customWidth="1"/>
    <col min="2" max="2" width="21.83203125" bestFit="1" customWidth="1"/>
  </cols>
  <sheetData>
    <row r="1" spans="1:2" x14ac:dyDescent="0.2">
      <c r="A1" s="4" t="s">
        <v>345</v>
      </c>
      <c r="B1" t="s">
        <v>347</v>
      </c>
    </row>
    <row r="2" spans="1:2" x14ac:dyDescent="0.2">
      <c r="A2" s="7" t="s">
        <v>21</v>
      </c>
      <c r="B2" s="6">
        <v>89.476190476190482</v>
      </c>
    </row>
    <row r="3" spans="1:2" x14ac:dyDescent="0.2">
      <c r="A3" s="7" t="s">
        <v>34</v>
      </c>
      <c r="B3" s="6">
        <v>87.907692307692301</v>
      </c>
    </row>
    <row r="4" spans="1:2" x14ac:dyDescent="0.2">
      <c r="A4" s="7" t="s">
        <v>346</v>
      </c>
      <c r="B4" s="8">
        <v>88.6796875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Working data</vt:lpstr>
      <vt:lpstr>Chart 1</vt:lpstr>
      <vt:lpstr>Chart 2</vt:lpstr>
      <vt:lpstr>Chart 3</vt:lpstr>
      <vt:lpstr>Chart 4</vt:lpstr>
      <vt:lpstr>Chart 5</vt:lpstr>
    </vt:vector>
  </TitlesOfParts>
  <Company>Victoria University of Wellington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Mines</dc:creator>
  <cp:lastModifiedBy>Giang Lại Ngân</cp:lastModifiedBy>
  <dcterms:created xsi:type="dcterms:W3CDTF">2025-06-12T23:59:40Z</dcterms:created>
  <dcterms:modified xsi:type="dcterms:W3CDTF">2026-04-05T07:01:06Z</dcterms:modified>
</cp:coreProperties>
</file>